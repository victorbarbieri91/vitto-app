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CONTROLE - Financeiro\"/>
    </mc:Choice>
  </mc:AlternateContent>
  <xr:revisionPtr revIDLastSave="0" documentId="13_ncr:1_{6E61682A-B7EE-4F0F-975D-498FEF10AB17}" xr6:coauthVersionLast="47" xr6:coauthVersionMax="47" xr10:uidLastSave="{00000000-0000-0000-0000-000000000000}"/>
  <bookViews>
    <workbookView xWindow="-132" yWindow="-132" windowWidth="23304" windowHeight="12504" xr2:uid="{C91F9E8C-AE3C-47AC-8240-D74DB78C5C09}"/>
  </bookViews>
  <sheets>
    <sheet name="DRE. Vitiloma.2025" sheetId="3" r:id="rId1"/>
  </sheets>
  <definedNames>
    <definedName name="_xlnm._FilterDatabase" localSheetId="0" hidden="1">'DRE. Vitiloma.2025'!$B$12:$H$102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7" i="3" l="1"/>
  <c r="E783" i="3"/>
  <c r="E739" i="3"/>
  <c r="E695" i="3"/>
  <c r="E651" i="3"/>
  <c r="E605" i="3"/>
  <c r="E552" i="3"/>
  <c r="E498" i="3"/>
  <c r="E441" i="3"/>
  <c r="E379" i="3"/>
  <c r="E317" i="3"/>
  <c r="E176" i="3"/>
  <c r="E249" i="3"/>
  <c r="E22" i="3"/>
  <c r="H24" i="3" s="1"/>
  <c r="H827" i="3"/>
  <c r="H819" i="3"/>
  <c r="G819" i="3"/>
  <c r="E812" i="3"/>
  <c r="E803" i="3"/>
  <c r="E802" i="3"/>
  <c r="E792" i="3"/>
  <c r="F796" i="3" s="1"/>
  <c r="H783" i="3"/>
  <c r="H775" i="3"/>
  <c r="G775" i="3"/>
  <c r="E768" i="3"/>
  <c r="E759" i="3"/>
  <c r="E758" i="3"/>
  <c r="E748" i="3"/>
  <c r="F742" i="3" s="1"/>
  <c r="H739" i="3"/>
  <c r="H731" i="3"/>
  <c r="G731" i="3"/>
  <c r="E724" i="3"/>
  <c r="E715" i="3"/>
  <c r="E714" i="3"/>
  <c r="E704" i="3"/>
  <c r="H706" i="3" s="1"/>
  <c r="H695" i="3"/>
  <c r="H687" i="3"/>
  <c r="G687" i="3"/>
  <c r="E680" i="3"/>
  <c r="E671" i="3"/>
  <c r="E670" i="3"/>
  <c r="E660" i="3"/>
  <c r="H662" i="3" s="1"/>
  <c r="E5" i="3"/>
  <c r="H651" i="3"/>
  <c r="H643" i="3"/>
  <c r="G643" i="3"/>
  <c r="E636" i="3"/>
  <c r="E625" i="3"/>
  <c r="E624" i="3"/>
  <c r="E614" i="3"/>
  <c r="H616" i="3" s="1"/>
  <c r="H605" i="3"/>
  <c r="H597" i="3"/>
  <c r="G597" i="3"/>
  <c r="E586" i="3"/>
  <c r="E572" i="3"/>
  <c r="E571" i="3"/>
  <c r="E561" i="3"/>
  <c r="H563" i="3" s="1"/>
  <c r="E507" i="3"/>
  <c r="H509" i="3" s="1"/>
  <c r="H552" i="3"/>
  <c r="H544" i="3"/>
  <c r="G544" i="3"/>
  <c r="E533" i="3"/>
  <c r="E518" i="3"/>
  <c r="E517" i="3"/>
  <c r="H498" i="3"/>
  <c r="H490" i="3"/>
  <c r="G490" i="3"/>
  <c r="E477" i="3"/>
  <c r="E461" i="3"/>
  <c r="E460" i="3"/>
  <c r="E450" i="3"/>
  <c r="H452" i="3" s="1"/>
  <c r="H441" i="3"/>
  <c r="H433" i="3"/>
  <c r="G433" i="3"/>
  <c r="E420" i="3"/>
  <c r="E399" i="3"/>
  <c r="E398" i="3"/>
  <c r="E388" i="3"/>
  <c r="F434" i="3" s="1"/>
  <c r="H379" i="3"/>
  <c r="H371" i="3"/>
  <c r="G371" i="3"/>
  <c r="E358" i="3"/>
  <c r="E337" i="3"/>
  <c r="E336" i="3"/>
  <c r="E326" i="3"/>
  <c r="F377" i="3" s="1"/>
  <c r="H317" i="3"/>
  <c r="H309" i="3"/>
  <c r="G309" i="3"/>
  <c r="E294" i="3"/>
  <c r="E269" i="3"/>
  <c r="E268" i="3"/>
  <c r="E258" i="3"/>
  <c r="H260" i="3" s="1"/>
  <c r="H249" i="3"/>
  <c r="E195" i="3"/>
  <c r="H241" i="3"/>
  <c r="G241" i="3"/>
  <c r="E226" i="3"/>
  <c r="E196" i="3"/>
  <c r="E185" i="3"/>
  <c r="F243" i="3" s="1"/>
  <c r="E98" i="3"/>
  <c r="E70" i="3"/>
  <c r="E148" i="3"/>
  <c r="F20" i="3" l="1"/>
  <c r="F19" i="3"/>
  <c r="F337" i="3"/>
  <c r="F803" i="3"/>
  <c r="F812" i="3"/>
  <c r="F494" i="3"/>
  <c r="F788" i="3"/>
  <c r="F787" i="3"/>
  <c r="F676" i="3"/>
  <c r="F798" i="3"/>
  <c r="F680" i="3"/>
  <c r="F744" i="3"/>
  <c r="F797" i="3"/>
  <c r="F753" i="3"/>
  <c r="J785" i="3"/>
  <c r="F764" i="3"/>
  <c r="F826" i="3"/>
  <c r="F825" i="3"/>
  <c r="F417" i="3"/>
  <c r="F789" i="3"/>
  <c r="F827" i="3"/>
  <c r="F793" i="3"/>
  <c r="F795" i="3"/>
  <c r="F824" i="3"/>
  <c r="F794" i="3"/>
  <c r="F823" i="3"/>
  <c r="F786" i="3"/>
  <c r="F801" i="3"/>
  <c r="F822" i="3"/>
  <c r="F791" i="3"/>
  <c r="F800" i="3"/>
  <c r="F821" i="3"/>
  <c r="F790" i="3"/>
  <c r="F799" i="3"/>
  <c r="F820" i="3"/>
  <c r="F782" i="3"/>
  <c r="F759" i="3"/>
  <c r="F768" i="3"/>
  <c r="F701" i="3"/>
  <c r="F711" i="3"/>
  <c r="F710" i="3"/>
  <c r="F722" i="3"/>
  <c r="F743" i="3"/>
  <c r="F752" i="3"/>
  <c r="F763" i="3"/>
  <c r="F781" i="3"/>
  <c r="F749" i="3"/>
  <c r="F751" i="3"/>
  <c r="F762" i="3"/>
  <c r="F780" i="3"/>
  <c r="F750" i="3"/>
  <c r="F761" i="3"/>
  <c r="F779" i="3"/>
  <c r="F757" i="3"/>
  <c r="F760" i="3"/>
  <c r="F778" i="3"/>
  <c r="F747" i="3"/>
  <c r="F756" i="3"/>
  <c r="F767" i="3"/>
  <c r="F777" i="3"/>
  <c r="F746" i="3"/>
  <c r="F755" i="3"/>
  <c r="F766" i="3"/>
  <c r="F776" i="3"/>
  <c r="F745" i="3"/>
  <c r="F754" i="3"/>
  <c r="F765" i="3"/>
  <c r="F783" i="3"/>
  <c r="J744" i="3"/>
  <c r="F721" i="3"/>
  <c r="F732" i="3"/>
  <c r="F715" i="3"/>
  <c r="F738" i="3"/>
  <c r="F724" i="3"/>
  <c r="F702" i="3"/>
  <c r="F665" i="3"/>
  <c r="F666" i="3"/>
  <c r="F677" i="3"/>
  <c r="F625" i="3"/>
  <c r="F636" i="3"/>
  <c r="F694" i="3"/>
  <c r="F658" i="3"/>
  <c r="F693" i="3"/>
  <c r="F657" i="3"/>
  <c r="F671" i="3"/>
  <c r="F656" i="3"/>
  <c r="F700" i="3"/>
  <c r="F709" i="3"/>
  <c r="F720" i="3"/>
  <c r="F737" i="3"/>
  <c r="F699" i="3"/>
  <c r="F708" i="3"/>
  <c r="F719" i="3"/>
  <c r="F736" i="3"/>
  <c r="F705" i="3"/>
  <c r="F707" i="3"/>
  <c r="F718" i="3"/>
  <c r="F735" i="3"/>
  <c r="F706" i="3"/>
  <c r="F717" i="3"/>
  <c r="F734" i="3"/>
  <c r="F698" i="3"/>
  <c r="F713" i="3"/>
  <c r="F716" i="3"/>
  <c r="F733" i="3"/>
  <c r="F703" i="3"/>
  <c r="F712" i="3"/>
  <c r="F723" i="3"/>
  <c r="F739" i="3"/>
  <c r="F667" i="3"/>
  <c r="F678" i="3"/>
  <c r="F695" i="3"/>
  <c r="F655" i="3"/>
  <c r="F664" i="3"/>
  <c r="F675" i="3"/>
  <c r="F692" i="3"/>
  <c r="F661" i="3"/>
  <c r="F663" i="3"/>
  <c r="F674" i="3"/>
  <c r="F691" i="3"/>
  <c r="F662" i="3"/>
  <c r="F673" i="3"/>
  <c r="F690" i="3"/>
  <c r="F654" i="3"/>
  <c r="F669" i="3"/>
  <c r="F672" i="3"/>
  <c r="F689" i="3"/>
  <c r="F659" i="3"/>
  <c r="F668" i="3"/>
  <c r="F679" i="3"/>
  <c r="F688" i="3"/>
  <c r="F622" i="3"/>
  <c r="F617" i="3"/>
  <c r="F631" i="3"/>
  <c r="F628" i="3"/>
  <c r="F651" i="3"/>
  <c r="F613" i="3"/>
  <c r="F648" i="3"/>
  <c r="F615" i="3"/>
  <c r="F616" i="3"/>
  <c r="F630" i="3"/>
  <c r="F650" i="3"/>
  <c r="F608" i="3"/>
  <c r="F623" i="3"/>
  <c r="F629" i="3"/>
  <c r="F649" i="3"/>
  <c r="F612" i="3"/>
  <c r="F621" i="3"/>
  <c r="F635" i="3"/>
  <c r="F627" i="3"/>
  <c r="F647" i="3"/>
  <c r="F611" i="3"/>
  <c r="F620" i="3"/>
  <c r="F634" i="3"/>
  <c r="F626" i="3"/>
  <c r="F646" i="3"/>
  <c r="F610" i="3"/>
  <c r="F619" i="3"/>
  <c r="F633" i="3"/>
  <c r="F645" i="3"/>
  <c r="F609" i="3"/>
  <c r="F618" i="3"/>
  <c r="F632" i="3"/>
  <c r="F644" i="3"/>
  <c r="F572" i="3"/>
  <c r="F586" i="3"/>
  <c r="F568" i="3"/>
  <c r="F576" i="3"/>
  <c r="F557" i="3"/>
  <c r="F566" i="3"/>
  <c r="F583" i="3"/>
  <c r="F575" i="3"/>
  <c r="F602" i="3"/>
  <c r="F584" i="3"/>
  <c r="F556" i="3"/>
  <c r="F565" i="3"/>
  <c r="F582" i="3"/>
  <c r="F574" i="3"/>
  <c r="F601" i="3"/>
  <c r="F577" i="3"/>
  <c r="F603" i="3"/>
  <c r="F562" i="3"/>
  <c r="F564" i="3"/>
  <c r="F581" i="3"/>
  <c r="F573" i="3"/>
  <c r="F600" i="3"/>
  <c r="F559" i="3"/>
  <c r="F567" i="3"/>
  <c r="F563" i="3"/>
  <c r="F580" i="3"/>
  <c r="F599" i="3"/>
  <c r="F585" i="3"/>
  <c r="F555" i="3"/>
  <c r="F570" i="3"/>
  <c r="F579" i="3"/>
  <c r="F598" i="3"/>
  <c r="F604" i="3"/>
  <c r="F558" i="3"/>
  <c r="F560" i="3"/>
  <c r="F569" i="3"/>
  <c r="F578" i="3"/>
  <c r="F605" i="3"/>
  <c r="F552" i="3"/>
  <c r="F503" i="3"/>
  <c r="F532" i="3"/>
  <c r="F524" i="3"/>
  <c r="F533" i="3"/>
  <c r="F512" i="3"/>
  <c r="F540" i="3"/>
  <c r="F518" i="3"/>
  <c r="F502" i="3"/>
  <c r="F511" i="3"/>
  <c r="F539" i="3"/>
  <c r="F531" i="3"/>
  <c r="F523" i="3"/>
  <c r="F551" i="3"/>
  <c r="F508" i="3"/>
  <c r="F510" i="3"/>
  <c r="F538" i="3"/>
  <c r="F530" i="3"/>
  <c r="F522" i="3"/>
  <c r="F550" i="3"/>
  <c r="F509" i="3"/>
  <c r="F537" i="3"/>
  <c r="F529" i="3"/>
  <c r="F521" i="3"/>
  <c r="F549" i="3"/>
  <c r="F501" i="3"/>
  <c r="F516" i="3"/>
  <c r="F536" i="3"/>
  <c r="F528" i="3"/>
  <c r="F520" i="3"/>
  <c r="F548" i="3"/>
  <c r="F506" i="3"/>
  <c r="F515" i="3"/>
  <c r="F543" i="3"/>
  <c r="F535" i="3"/>
  <c r="F527" i="3"/>
  <c r="F519" i="3"/>
  <c r="F547" i="3"/>
  <c r="F505" i="3"/>
  <c r="F514" i="3"/>
  <c r="F542" i="3"/>
  <c r="F534" i="3"/>
  <c r="F526" i="3"/>
  <c r="F546" i="3"/>
  <c r="F504" i="3"/>
  <c r="F513" i="3"/>
  <c r="F541" i="3"/>
  <c r="F525" i="3"/>
  <c r="F545" i="3"/>
  <c r="F451" i="3"/>
  <c r="F477" i="3"/>
  <c r="F452" i="3"/>
  <c r="F453" i="3"/>
  <c r="F472" i="3"/>
  <c r="F461" i="3"/>
  <c r="F464" i="3"/>
  <c r="F445" i="3"/>
  <c r="F454" i="3"/>
  <c r="F473" i="3"/>
  <c r="F465" i="3"/>
  <c r="F495" i="3"/>
  <c r="F471" i="3"/>
  <c r="F463" i="3"/>
  <c r="F493" i="3"/>
  <c r="F444" i="3"/>
  <c r="F459" i="3"/>
  <c r="F470" i="3"/>
  <c r="F462" i="3"/>
  <c r="F492" i="3"/>
  <c r="F449" i="3"/>
  <c r="F458" i="3"/>
  <c r="F469" i="3"/>
  <c r="F448" i="3"/>
  <c r="F457" i="3"/>
  <c r="F476" i="3"/>
  <c r="F468" i="3"/>
  <c r="F491" i="3"/>
  <c r="F447" i="3"/>
  <c r="F456" i="3"/>
  <c r="F475" i="3"/>
  <c r="F467" i="3"/>
  <c r="F497" i="3"/>
  <c r="F446" i="3"/>
  <c r="F455" i="3"/>
  <c r="F474" i="3"/>
  <c r="F466" i="3"/>
  <c r="F496" i="3"/>
  <c r="F498" i="3"/>
  <c r="F409" i="3"/>
  <c r="F401" i="3"/>
  <c r="F399" i="3"/>
  <c r="F420" i="3"/>
  <c r="F393" i="3"/>
  <c r="F358" i="3"/>
  <c r="F325" i="3"/>
  <c r="F334" i="3"/>
  <c r="F349" i="3"/>
  <c r="F317" i="3"/>
  <c r="F357" i="3"/>
  <c r="F379" i="3"/>
  <c r="F341" i="3"/>
  <c r="F375" i="3"/>
  <c r="F435" i="3"/>
  <c r="F384" i="3"/>
  <c r="F441" i="3"/>
  <c r="F385" i="3"/>
  <c r="F394" i="3"/>
  <c r="F418" i="3"/>
  <c r="F410" i="3"/>
  <c r="F402" i="3"/>
  <c r="F436" i="3"/>
  <c r="F383" i="3"/>
  <c r="F392" i="3"/>
  <c r="F416" i="3"/>
  <c r="F408" i="3"/>
  <c r="F400" i="3"/>
  <c r="F389" i="3"/>
  <c r="F391" i="3"/>
  <c r="F415" i="3"/>
  <c r="F407" i="3"/>
  <c r="J381" i="3"/>
  <c r="F390" i="3"/>
  <c r="H390" i="3"/>
  <c r="F414" i="3"/>
  <c r="F406" i="3"/>
  <c r="F440" i="3"/>
  <c r="F397" i="3"/>
  <c r="F413" i="3"/>
  <c r="F405" i="3"/>
  <c r="F439" i="3"/>
  <c r="F387" i="3"/>
  <c r="F396" i="3"/>
  <c r="F412" i="3"/>
  <c r="F404" i="3"/>
  <c r="F438" i="3"/>
  <c r="F382" i="3"/>
  <c r="F386" i="3"/>
  <c r="F395" i="3"/>
  <c r="F419" i="3"/>
  <c r="F411" i="3"/>
  <c r="F403" i="3"/>
  <c r="F437" i="3"/>
  <c r="F320" i="3"/>
  <c r="F335" i="3"/>
  <c r="F350" i="3"/>
  <c r="F342" i="3"/>
  <c r="F376" i="3"/>
  <c r="F324" i="3"/>
  <c r="F333" i="3"/>
  <c r="F356" i="3"/>
  <c r="F348" i="3"/>
  <c r="F340" i="3"/>
  <c r="F374" i="3"/>
  <c r="F323" i="3"/>
  <c r="F332" i="3"/>
  <c r="F355" i="3"/>
  <c r="F347" i="3"/>
  <c r="F339" i="3"/>
  <c r="F373" i="3"/>
  <c r="F322" i="3"/>
  <c r="F331" i="3"/>
  <c r="F354" i="3"/>
  <c r="F346" i="3"/>
  <c r="F338" i="3"/>
  <c r="F321" i="3"/>
  <c r="F330" i="3"/>
  <c r="F353" i="3"/>
  <c r="F345" i="3"/>
  <c r="F372" i="3"/>
  <c r="F327" i="3"/>
  <c r="F329" i="3"/>
  <c r="F352" i="3"/>
  <c r="F344" i="3"/>
  <c r="F378" i="3"/>
  <c r="F328" i="3"/>
  <c r="F351" i="3"/>
  <c r="F343" i="3"/>
  <c r="F316" i="3"/>
  <c r="F269" i="3"/>
  <c r="F266" i="3"/>
  <c r="F280" i="3"/>
  <c r="F277" i="3"/>
  <c r="F256" i="3"/>
  <c r="F294" i="3"/>
  <c r="F272" i="3"/>
  <c r="F263" i="3"/>
  <c r="F310" i="3"/>
  <c r="F260" i="3"/>
  <c r="F311" i="3"/>
  <c r="F293" i="3"/>
  <c r="F288" i="3"/>
  <c r="F252" i="3"/>
  <c r="F285" i="3"/>
  <c r="F204" i="3"/>
  <c r="H187" i="3"/>
  <c r="F221" i="3"/>
  <c r="F219" i="3"/>
  <c r="F187" i="3"/>
  <c r="F190" i="3"/>
  <c r="F203" i="3"/>
  <c r="F220" i="3"/>
  <c r="F197" i="3"/>
  <c r="F182" i="3"/>
  <c r="F213" i="3"/>
  <c r="F242" i="3"/>
  <c r="F181" i="3"/>
  <c r="F212" i="3"/>
  <c r="F249" i="3"/>
  <c r="F196" i="3"/>
  <c r="F180" i="3"/>
  <c r="F211" i="3"/>
  <c r="F226" i="3"/>
  <c r="F188" i="3"/>
  <c r="F205" i="3"/>
  <c r="F179" i="3"/>
  <c r="F265" i="3"/>
  <c r="F287" i="3"/>
  <c r="F279" i="3"/>
  <c r="F271" i="3"/>
  <c r="F257" i="3"/>
  <c r="F264" i="3"/>
  <c r="F286" i="3"/>
  <c r="F278" i="3"/>
  <c r="F270" i="3"/>
  <c r="F312" i="3"/>
  <c r="F255" i="3"/>
  <c r="F262" i="3"/>
  <c r="F292" i="3"/>
  <c r="F284" i="3"/>
  <c r="F276" i="3"/>
  <c r="F254" i="3"/>
  <c r="F261" i="3"/>
  <c r="F291" i="3"/>
  <c r="F283" i="3"/>
  <c r="F275" i="3"/>
  <c r="F315" i="3"/>
  <c r="F253" i="3"/>
  <c r="F290" i="3"/>
  <c r="F282" i="3"/>
  <c r="F274" i="3"/>
  <c r="F314" i="3"/>
  <c r="F267" i="3"/>
  <c r="F259" i="3"/>
  <c r="F289" i="3"/>
  <c r="F281" i="3"/>
  <c r="F273" i="3"/>
  <c r="F313" i="3"/>
  <c r="F194" i="3"/>
  <c r="F218" i="3"/>
  <c r="F210" i="3"/>
  <c r="F202" i="3"/>
  <c r="F248" i="3"/>
  <c r="F186" i="3"/>
  <c r="F193" i="3"/>
  <c r="F225" i="3"/>
  <c r="F217" i="3"/>
  <c r="F209" i="3"/>
  <c r="F201" i="3"/>
  <c r="F247" i="3"/>
  <c r="F192" i="3"/>
  <c r="F224" i="3"/>
  <c r="F216" i="3"/>
  <c r="F208" i="3"/>
  <c r="F200" i="3"/>
  <c r="F246" i="3"/>
  <c r="F245" i="3"/>
  <c r="F184" i="3"/>
  <c r="F191" i="3"/>
  <c r="F223" i="3"/>
  <c r="F215" i="3"/>
  <c r="F207" i="3"/>
  <c r="F199" i="3"/>
  <c r="F244" i="3"/>
  <c r="F183" i="3"/>
  <c r="F189" i="3"/>
  <c r="F222" i="3"/>
  <c r="F214" i="3"/>
  <c r="F206" i="3"/>
  <c r="F198" i="3"/>
  <c r="F95" i="3"/>
  <c r="H794" i="3"/>
  <c r="J741" i="3"/>
  <c r="E819" i="3"/>
  <c r="J794" i="3" s="1"/>
  <c r="J788" i="3"/>
  <c r="E775" i="3"/>
  <c r="H750" i="3"/>
  <c r="J700" i="3"/>
  <c r="E731" i="3"/>
  <c r="F731" i="3" s="1"/>
  <c r="J697" i="3"/>
  <c r="J446" i="3"/>
  <c r="J554" i="3"/>
  <c r="E687" i="3"/>
  <c r="J656" i="3"/>
  <c r="J653" i="3"/>
  <c r="J557" i="3"/>
  <c r="E643" i="3"/>
  <c r="J607" i="3"/>
  <c r="J610" i="3"/>
  <c r="E597" i="3"/>
  <c r="J503" i="3"/>
  <c r="E544" i="3"/>
  <c r="F544" i="3" s="1"/>
  <c r="J500" i="3"/>
  <c r="J384" i="3"/>
  <c r="E490" i="3"/>
  <c r="F490" i="3" s="1"/>
  <c r="J443" i="3"/>
  <c r="E433" i="3"/>
  <c r="F433" i="3" s="1"/>
  <c r="E371" i="3"/>
  <c r="H328" i="3"/>
  <c r="J322" i="3"/>
  <c r="J319" i="3"/>
  <c r="E309" i="3"/>
  <c r="J257" i="3" s="1"/>
  <c r="J254" i="3"/>
  <c r="J251" i="3"/>
  <c r="J178" i="3"/>
  <c r="E241" i="3"/>
  <c r="J187" i="3" s="1"/>
  <c r="J181" i="3"/>
  <c r="E33" i="3"/>
  <c r="E32" i="3"/>
  <c r="F32" i="3" s="1"/>
  <c r="E118" i="3"/>
  <c r="E168" i="3" s="1"/>
  <c r="E117" i="3"/>
  <c r="E107" i="3"/>
  <c r="F176" i="3" s="1"/>
  <c r="G168" i="3"/>
  <c r="J791" i="3" l="1"/>
  <c r="F819" i="3"/>
  <c r="J750" i="3"/>
  <c r="F775" i="3"/>
  <c r="J616" i="3"/>
  <c r="F643" i="3"/>
  <c r="F624" i="3"/>
  <c r="F571" i="3"/>
  <c r="J560" i="3"/>
  <c r="F597" i="3"/>
  <c r="F517" i="3"/>
  <c r="F460" i="3"/>
  <c r="J328" i="3"/>
  <c r="F371" i="3"/>
  <c r="F173" i="3"/>
  <c r="F171" i="3"/>
  <c r="F106" i="3"/>
  <c r="F111" i="3"/>
  <c r="F110" i="3"/>
  <c r="J747" i="3"/>
  <c r="J706" i="3"/>
  <c r="J703" i="3"/>
  <c r="F687" i="3"/>
  <c r="J659" i="3"/>
  <c r="J662" i="3"/>
  <c r="J613" i="3"/>
  <c r="J563" i="3"/>
  <c r="J449" i="3"/>
  <c r="J509" i="3"/>
  <c r="J506" i="3"/>
  <c r="J390" i="3"/>
  <c r="J452" i="3"/>
  <c r="J387" i="3"/>
  <c r="F33" i="3"/>
  <c r="J325" i="3"/>
  <c r="J260" i="3"/>
  <c r="F309" i="3"/>
  <c r="J184" i="3"/>
  <c r="J106" i="3"/>
  <c r="F241" i="3"/>
  <c r="H109" i="3"/>
  <c r="F121" i="3"/>
  <c r="F129" i="3"/>
  <c r="F137" i="3"/>
  <c r="F113" i="3"/>
  <c r="F109" i="3"/>
  <c r="F141" i="3"/>
  <c r="F170" i="3"/>
  <c r="F135" i="3"/>
  <c r="F108" i="3"/>
  <c r="F174" i="3"/>
  <c r="F122" i="3"/>
  <c r="F130" i="3"/>
  <c r="F138" i="3"/>
  <c r="F146" i="3"/>
  <c r="F114" i="3"/>
  <c r="J100" i="3"/>
  <c r="F125" i="3"/>
  <c r="F118" i="3"/>
  <c r="F134" i="3"/>
  <c r="F104" i="3"/>
  <c r="F119" i="3"/>
  <c r="F175" i="3"/>
  <c r="F123" i="3"/>
  <c r="F131" i="3"/>
  <c r="F139" i="3"/>
  <c r="F147" i="3"/>
  <c r="F115" i="3"/>
  <c r="F105" i="3"/>
  <c r="F103" i="3"/>
  <c r="F116" i="3"/>
  <c r="F127" i="3"/>
  <c r="F169" i="3"/>
  <c r="F124" i="3"/>
  <c r="F132" i="3"/>
  <c r="F140" i="3"/>
  <c r="F148" i="3"/>
  <c r="F102" i="3"/>
  <c r="F133" i="3"/>
  <c r="F126" i="3"/>
  <c r="F142" i="3"/>
  <c r="F143" i="3"/>
  <c r="F172" i="3"/>
  <c r="F120" i="3"/>
  <c r="F128" i="3"/>
  <c r="F136" i="3"/>
  <c r="F144" i="3"/>
  <c r="F112" i="3"/>
  <c r="F101" i="3"/>
  <c r="F145" i="3"/>
  <c r="F96" i="3"/>
  <c r="F21" i="3"/>
  <c r="E90" i="3"/>
  <c r="F23" i="3"/>
  <c r="E7" i="3"/>
  <c r="J24" i="3" l="1"/>
  <c r="E8" i="3" s="1"/>
  <c r="F90" i="3"/>
  <c r="F714" i="3"/>
  <c r="F740" i="3" s="1"/>
  <c r="F802" i="3"/>
  <c r="F828" i="3" s="1"/>
  <c r="F758" i="3"/>
  <c r="F784" i="3" s="1"/>
  <c r="F670" i="3"/>
  <c r="F696" i="3" s="1"/>
  <c r="F652" i="3"/>
  <c r="F606" i="3"/>
  <c r="F553" i="3"/>
  <c r="F398" i="3"/>
  <c r="F442" i="3" s="1"/>
  <c r="F499" i="3"/>
  <c r="F336" i="3"/>
  <c r="F380" i="3" s="1"/>
  <c r="F268" i="3"/>
  <c r="F318" i="3" s="1"/>
  <c r="F195" i="3"/>
  <c r="F250" i="3" s="1"/>
  <c r="J109" i="3"/>
  <c r="F168" i="3"/>
  <c r="F117" i="3"/>
  <c r="J21" i="3"/>
  <c r="H168" i="3"/>
  <c r="J103" i="3" s="1"/>
  <c r="F91" i="3"/>
  <c r="F16" i="3"/>
  <c r="F93" i="3"/>
  <c r="F92" i="3"/>
  <c r="F94" i="3"/>
  <c r="F98" i="3"/>
  <c r="F97" i="3"/>
  <c r="F70" i="3"/>
  <c r="F29" i="3"/>
  <c r="F28" i="3"/>
  <c r="F30" i="3"/>
  <c r="F27" i="3"/>
  <c r="F14" i="3"/>
  <c r="F26" i="3"/>
  <c r="F24" i="3"/>
  <c r="F25" i="3"/>
  <c r="F31" i="3"/>
  <c r="F15" i="3"/>
  <c r="F18" i="3"/>
  <c r="F17" i="3"/>
  <c r="F177" i="3" l="1"/>
  <c r="H90" i="3"/>
  <c r="J18" i="3" s="1"/>
  <c r="E6" i="3"/>
  <c r="J15" i="3"/>
  <c r="F99" i="3" l="1"/>
  <c r="G90" i="3"/>
</calcChain>
</file>

<file path=xl/sharedStrings.xml><?xml version="1.0" encoding="utf-8"?>
<sst xmlns="http://schemas.openxmlformats.org/spreadsheetml/2006/main" count="771" uniqueCount="271">
  <si>
    <t>Salário Victor</t>
  </si>
  <si>
    <t>Salário Paloma</t>
  </si>
  <si>
    <t xml:space="preserve">Aluguel </t>
  </si>
  <si>
    <t>Condominio</t>
  </si>
  <si>
    <t>Plano de Saúde</t>
  </si>
  <si>
    <t>Conta de Luz</t>
  </si>
  <si>
    <t>Receitas</t>
  </si>
  <si>
    <t>Despesas Fixas</t>
  </si>
  <si>
    <t>Mensal Marcio</t>
  </si>
  <si>
    <t>Mensal Rafa</t>
  </si>
  <si>
    <t>Mensal Augusto</t>
  </si>
  <si>
    <t>Internet</t>
  </si>
  <si>
    <t xml:space="preserve">Escritório </t>
  </si>
  <si>
    <t>Streaming</t>
  </si>
  <si>
    <t>Parcelas Victor</t>
  </si>
  <si>
    <t>Parcelas Paloma</t>
  </si>
  <si>
    <t>Total</t>
  </si>
  <si>
    <t>Objetivo</t>
  </si>
  <si>
    <t>R$ Limite</t>
  </si>
  <si>
    <t>Carro</t>
  </si>
  <si>
    <t>Mercado</t>
  </si>
  <si>
    <t>Marmitas</t>
  </si>
  <si>
    <t>Ifood</t>
  </si>
  <si>
    <t>Bares e Restaurantes</t>
  </si>
  <si>
    <t>Saúde</t>
  </si>
  <si>
    <t>Valor</t>
  </si>
  <si>
    <t xml:space="preserve"> Dentista - 6/6</t>
  </si>
  <si>
    <t xml:space="preserve"> Vinea - 4/12</t>
  </si>
  <si>
    <t>Cabelereiro - 2/2</t>
  </si>
  <si>
    <t xml:space="preserve"> Roupas Academia - 1/6</t>
  </si>
  <si>
    <t>Emprestimo 2/12</t>
  </si>
  <si>
    <t xml:space="preserve"> Despedida Lu e So 4/12</t>
  </si>
  <si>
    <t xml:space="preserve"> Vinea - 5/12</t>
  </si>
  <si>
    <t>Conserto do Carro - 8/12</t>
  </si>
  <si>
    <t>Lingerie So - 5/5</t>
  </si>
  <si>
    <t>Farmacia 3/5</t>
  </si>
  <si>
    <t>Decatlhon 3/3</t>
  </si>
  <si>
    <t>Tapete 10/10</t>
  </si>
  <si>
    <t>Transformador 4/5</t>
  </si>
  <si>
    <t>Parcelamento Quinto Andar 4/4</t>
  </si>
  <si>
    <t>Presente Ozzie 3/3</t>
  </si>
  <si>
    <t>Livros Amazon 6/7</t>
  </si>
  <si>
    <t>Utensilios Pizza 6/7</t>
  </si>
  <si>
    <t>Mesa Varanda 7/12</t>
  </si>
  <si>
    <t>Trial By Trolley 7/7</t>
  </si>
  <si>
    <t>Cabelo - 9/10</t>
  </si>
  <si>
    <t>Apple Watch 7/10</t>
  </si>
  <si>
    <t>Anuncio Carro 9/10</t>
  </si>
  <si>
    <t>Curso Ecommerce 11/12</t>
  </si>
  <si>
    <t>Garrafas Stanley 3/9</t>
  </si>
  <si>
    <t>No Code Startup 3/10</t>
  </si>
  <si>
    <t>Fifa 3/12</t>
  </si>
  <si>
    <t>Decatlhon 6/6</t>
  </si>
  <si>
    <t>Despedida Lukinhas 12/12</t>
  </si>
  <si>
    <t>Viagem Paraty 3/12</t>
  </si>
  <si>
    <t>Violeta 2/3</t>
  </si>
  <si>
    <t>Dentista 2/2</t>
  </si>
  <si>
    <t>Prospin 7/10</t>
  </si>
  <si>
    <t>Descritivo</t>
  </si>
  <si>
    <t>Planilha de Orçamento (Controle de Gastos): Paloma e Victor</t>
  </si>
  <si>
    <t>Parcelas</t>
  </si>
  <si>
    <t>Despesas Variáveis (Objetivos)</t>
  </si>
  <si>
    <t>Percentual Ideal</t>
  </si>
  <si>
    <t>Id.</t>
  </si>
  <si>
    <t>Mês</t>
  </si>
  <si>
    <t>Janeiro</t>
  </si>
  <si>
    <t>Investimento</t>
  </si>
  <si>
    <t>Resultado</t>
  </si>
  <si>
    <t>Índices</t>
  </si>
  <si>
    <t>Ano</t>
  </si>
  <si>
    <t>Receita</t>
  </si>
  <si>
    <t>Despesa</t>
  </si>
  <si>
    <t>Receita X Despesas Fixas</t>
  </si>
  <si>
    <t>Valores</t>
  </si>
  <si>
    <t>Receitas - (Fixas +Parcelas)</t>
  </si>
  <si>
    <t>Resultado Mensal</t>
  </si>
  <si>
    <t>Total Despesas</t>
  </si>
  <si>
    <t>(!)</t>
  </si>
  <si>
    <t>Percentual do Mês:</t>
  </si>
  <si>
    <t>Fevereiro</t>
  </si>
  <si>
    <t>Violeta 1/2</t>
  </si>
  <si>
    <t>Airbnb Cunha 1/5</t>
  </si>
  <si>
    <t>Presente Mãe 1/5</t>
  </si>
  <si>
    <t>Controle Ps5 1/11</t>
  </si>
  <si>
    <t>Petz 1/6</t>
  </si>
  <si>
    <t>Hotel Campinas</t>
  </si>
  <si>
    <t>Caixinha 1/12</t>
  </si>
  <si>
    <t>Botões Controle 1/2</t>
  </si>
  <si>
    <t>Impostos 4/12</t>
  </si>
  <si>
    <t>Curso 5/5</t>
  </si>
  <si>
    <t>Emprestimo 3/12</t>
  </si>
  <si>
    <t xml:space="preserve"> Despedida Lu e So 5/12</t>
  </si>
  <si>
    <t xml:space="preserve"> Vinea - 6/12</t>
  </si>
  <si>
    <t>Conserto do Carro - 9/12</t>
  </si>
  <si>
    <t>Farmacia 4/5</t>
  </si>
  <si>
    <t>Transformador 5/5</t>
  </si>
  <si>
    <t>Livros Amazon 7/7</t>
  </si>
  <si>
    <t>Utensilios Pizza 7/7</t>
  </si>
  <si>
    <t>Mesa Varanda 8/12</t>
  </si>
  <si>
    <t>Apple Watch 8/10</t>
  </si>
  <si>
    <t>Prospin 8/10</t>
  </si>
  <si>
    <t>Anuncio Carro 10/10</t>
  </si>
  <si>
    <t>Curso Ecommerce 12/12</t>
  </si>
  <si>
    <t>Garrafas Stanley 4/9</t>
  </si>
  <si>
    <t>No Code Startup 4/10</t>
  </si>
  <si>
    <t>Fifa 4/12</t>
  </si>
  <si>
    <t>Viagem Paraty 4/12</t>
  </si>
  <si>
    <t>Violeta 3/3</t>
  </si>
  <si>
    <t>Violeta 2/2</t>
  </si>
  <si>
    <t>Airbnb Cunha 2/5</t>
  </si>
  <si>
    <t>Presente Mãe 2/5</t>
  </si>
  <si>
    <t>Controle Ps5 2/11</t>
  </si>
  <si>
    <t>Petz 2/6</t>
  </si>
  <si>
    <t>Hotel Campinas 2/4</t>
  </si>
  <si>
    <t>Caixinha 2/12</t>
  </si>
  <si>
    <t>Botões Controle 2/2</t>
  </si>
  <si>
    <t>Impostos 5/12</t>
  </si>
  <si>
    <t>Colar Casamento Sofia e Luís- 3/6</t>
  </si>
  <si>
    <t>Presente de Casamento Sofia e Luís 3/11</t>
  </si>
  <si>
    <t>Presente Mozão:Relógio Vivara 1/9</t>
  </si>
  <si>
    <t>Vestido Ano Novo 1/7</t>
  </si>
  <si>
    <t xml:space="preserve"> Roupas Academia - 2/6</t>
  </si>
  <si>
    <t>Colar Casamento Sofia e Luís- 4/6</t>
  </si>
  <si>
    <t>Presente de Casamento Sofia e Luís 4/11</t>
  </si>
  <si>
    <t>Cabelo - 10/10</t>
  </si>
  <si>
    <t>Presente Mozão:Relógio Vivara 2/9</t>
  </si>
  <si>
    <t>Vestido Ano Novo 2/7</t>
  </si>
  <si>
    <t>Mercado Padrão 1/2</t>
  </si>
  <si>
    <t>Esportes</t>
  </si>
  <si>
    <t>Março</t>
  </si>
  <si>
    <t>Emprestimo 4/12</t>
  </si>
  <si>
    <t xml:space="preserve"> Despedida Lu e So 6/12</t>
  </si>
  <si>
    <t xml:space="preserve"> Vinea - 7/12</t>
  </si>
  <si>
    <t>Conserto do Carro - 10/12</t>
  </si>
  <si>
    <t>Farmacia 5/5</t>
  </si>
  <si>
    <t>Mesa Varanda 9/12</t>
  </si>
  <si>
    <t>Apple Watch 9/10</t>
  </si>
  <si>
    <t>Prospin 9/10</t>
  </si>
  <si>
    <t>Garrafas Stanley 5/9</t>
  </si>
  <si>
    <t>No Code Startup 5/10</t>
  </si>
  <si>
    <t>Fifa 5/12</t>
  </si>
  <si>
    <t>Viagem Paraty 5/12</t>
  </si>
  <si>
    <t>Airbnb Cunha 3/5</t>
  </si>
  <si>
    <t>Presente Mãe 3/5</t>
  </si>
  <si>
    <t>Controle Ps5 3/11</t>
  </si>
  <si>
    <t>Petz 3/6</t>
  </si>
  <si>
    <t>Hotel Campinas 3/4</t>
  </si>
  <si>
    <t>Caixinha 3/12</t>
  </si>
  <si>
    <t>Impostos 6/12</t>
  </si>
  <si>
    <t xml:space="preserve"> Roupas Academia - 3/6</t>
  </si>
  <si>
    <t>Colar Casamento Sofia e Luís- 5/6</t>
  </si>
  <si>
    <t>Presente de Casamento Sofia e Luís 5/11</t>
  </si>
  <si>
    <t>Presente Mozão:Relógio Vivara 3/9</t>
  </si>
  <si>
    <t>Vestido Ano Novo 3/7</t>
  </si>
  <si>
    <t>Mercado Padrão 2/2</t>
  </si>
  <si>
    <t>Abril</t>
  </si>
  <si>
    <t>Emprestimo 5/12</t>
  </si>
  <si>
    <t xml:space="preserve"> Despedida Lu e So 7/12</t>
  </si>
  <si>
    <t xml:space="preserve"> Vinea - 8/12</t>
  </si>
  <si>
    <t>Conserto do Carro - 11/12</t>
  </si>
  <si>
    <t>Mesa Varanda 10/12</t>
  </si>
  <si>
    <t>Apple Watch 10/10</t>
  </si>
  <si>
    <t>Prospin 10/10</t>
  </si>
  <si>
    <t>Garrafas Stanley 6/9</t>
  </si>
  <si>
    <t>No Code Startup 6/10</t>
  </si>
  <si>
    <t>Fifa 6/12</t>
  </si>
  <si>
    <t>Viagem Paraty 6/12</t>
  </si>
  <si>
    <t>Airbnb Cunha 4/5</t>
  </si>
  <si>
    <t>Presente Mãe 4/5</t>
  </si>
  <si>
    <t>Controle Ps5 4/11</t>
  </si>
  <si>
    <t>Petz 4/6</t>
  </si>
  <si>
    <t>Hotel Campinas 4/4</t>
  </si>
  <si>
    <t>Caixinha 4/12</t>
  </si>
  <si>
    <t>Impostos 7/12</t>
  </si>
  <si>
    <t xml:space="preserve"> Roupas Academia - 4/6</t>
  </si>
  <si>
    <t>Colar Casamento Sofia e Luís- 6/6</t>
  </si>
  <si>
    <t>Presente de Casamento Sofia e Luís 6/11</t>
  </si>
  <si>
    <t>Presente Mozão:Relógio Vivara 4/9</t>
  </si>
  <si>
    <t>Vestido Ano Novo 4/7</t>
  </si>
  <si>
    <t>arrumar o quadro para pegar todos os investimentos; resulta e receitas do ano</t>
  </si>
  <si>
    <t>Maio</t>
  </si>
  <si>
    <t>Emprestimo 6/12</t>
  </si>
  <si>
    <t xml:space="preserve"> Despedida Lu e So 8/12</t>
  </si>
  <si>
    <t xml:space="preserve"> Vinea - 9/12</t>
  </si>
  <si>
    <t>Conserto do Carro - 12/12</t>
  </si>
  <si>
    <t>Mesa Varanda 11/12</t>
  </si>
  <si>
    <t>Garrafas Stanley 7/9</t>
  </si>
  <si>
    <t>No Code Startup 7/10</t>
  </si>
  <si>
    <t>Fifa 7/12</t>
  </si>
  <si>
    <t>Viagem Paraty 7/12</t>
  </si>
  <si>
    <t>Airbnb Cunha 5/5</t>
  </si>
  <si>
    <t>Presente Mãe 5/5</t>
  </si>
  <si>
    <t>Controle Ps5 5/11</t>
  </si>
  <si>
    <t>Petz 5/6</t>
  </si>
  <si>
    <t>Caixinha 5/12</t>
  </si>
  <si>
    <t>Impostos 8/12</t>
  </si>
  <si>
    <t xml:space="preserve"> Roupas Academia - 5/6</t>
  </si>
  <si>
    <t>Presente de Casamento Sofia e Luís 7/11</t>
  </si>
  <si>
    <t>Presente Mozão:Relógio Vivara 5/9</t>
  </si>
  <si>
    <t>Vestido Ano Novo 5/7</t>
  </si>
  <si>
    <t>Junho</t>
  </si>
  <si>
    <t>Emprestimo 7/12</t>
  </si>
  <si>
    <t xml:space="preserve"> Despedida Lu e So 9/12</t>
  </si>
  <si>
    <t xml:space="preserve"> Vinea - 10/12</t>
  </si>
  <si>
    <t>Mesa Varanda 12/12</t>
  </si>
  <si>
    <t>Garrafas Stanley 8/9</t>
  </si>
  <si>
    <t>No Code Startup 8/10</t>
  </si>
  <si>
    <t>Fifa 8/12</t>
  </si>
  <si>
    <t>Viagem Paraty 8/12</t>
  </si>
  <si>
    <t>Controle Ps5 6/11</t>
  </si>
  <si>
    <t>Petz 6/6</t>
  </si>
  <si>
    <t>Caixinha 6/12</t>
  </si>
  <si>
    <t>Impostos 9/12</t>
  </si>
  <si>
    <t xml:space="preserve"> Roupas Academia - 6/6</t>
  </si>
  <si>
    <t>Presente de Casamento Sofia e Luís 8/11</t>
  </si>
  <si>
    <t>Presente Mozão:Relógio Vivara 6/9</t>
  </si>
  <si>
    <t>Vestido Ano Novo 6/7</t>
  </si>
  <si>
    <t>Julho</t>
  </si>
  <si>
    <t>Emprestimo 8/12</t>
  </si>
  <si>
    <t xml:space="preserve"> Despedida Lu e So 10/12</t>
  </si>
  <si>
    <t xml:space="preserve"> Vinea - 11/12</t>
  </si>
  <si>
    <t>Garrafas Stanley 9/9</t>
  </si>
  <si>
    <t>No Code Startup 9/10</t>
  </si>
  <si>
    <t>Fifa 9/12</t>
  </si>
  <si>
    <t>Viagem Paraty 9/12</t>
  </si>
  <si>
    <t>Controle Ps5 7/11</t>
  </si>
  <si>
    <t>Caixinha 7/12</t>
  </si>
  <si>
    <t>Impostos 10/12</t>
  </si>
  <si>
    <t>Presente de Casamento Sofia e Luís 9/11</t>
  </si>
  <si>
    <t>Presente Mozão:Relógio Vivara 7/9</t>
  </si>
  <si>
    <t>Vestido Ano Novo 7/7</t>
  </si>
  <si>
    <t>Agosto</t>
  </si>
  <si>
    <t>Emprestimo 9/12</t>
  </si>
  <si>
    <t xml:space="preserve"> Despedida Lu e So 11/12</t>
  </si>
  <si>
    <t xml:space="preserve"> Vinea - 12/12</t>
  </si>
  <si>
    <t>No Code Startup 10/10</t>
  </si>
  <si>
    <t>Fifa 10/12</t>
  </si>
  <si>
    <t>Viagem Paraty 10/12</t>
  </si>
  <si>
    <t>Controle Ps5 8/11</t>
  </si>
  <si>
    <t>Caixinha 8/12</t>
  </si>
  <si>
    <t>Impostos 11/12</t>
  </si>
  <si>
    <t>Presente de Casamento Sofia e Luís 10/11</t>
  </si>
  <si>
    <t>Presente Mozão:Relógio Vivara 8/9</t>
  </si>
  <si>
    <t>Setembro</t>
  </si>
  <si>
    <t>Emprestimo 10/12</t>
  </si>
  <si>
    <t xml:space="preserve"> Despedida Lu e So 12/12</t>
  </si>
  <si>
    <t>Fifa 11/12</t>
  </si>
  <si>
    <t>Viagem Paraty 11/12</t>
  </si>
  <si>
    <t>Controle Ps5 9/11</t>
  </si>
  <si>
    <t>Caixinha 9/12</t>
  </si>
  <si>
    <t>Impostos 12/12</t>
  </si>
  <si>
    <t>Presente de Casamento Sofia e Luís 11/11</t>
  </si>
  <si>
    <t>Presente Mozão:Relógio Vivara 9/9</t>
  </si>
  <si>
    <t>Outubro</t>
  </si>
  <si>
    <t>Emprestimo 11/12</t>
  </si>
  <si>
    <t>Fifa 12/12</t>
  </si>
  <si>
    <t>Viagem Paraty 12/12</t>
  </si>
  <si>
    <t>Controle Ps5 10/11</t>
  </si>
  <si>
    <t>Caixinha 10/12</t>
  </si>
  <si>
    <t>Novembro</t>
  </si>
  <si>
    <t>Emprestimo 12/12</t>
  </si>
  <si>
    <t>Controle Ps5 11/11</t>
  </si>
  <si>
    <t>Caixinha 11/12</t>
  </si>
  <si>
    <t>Dezembro</t>
  </si>
  <si>
    <t>Caixinha 12/12</t>
  </si>
  <si>
    <t>2025 Janeiro</t>
  </si>
  <si>
    <t>2026 Janeiro</t>
  </si>
  <si>
    <t>Campos</t>
  </si>
  <si>
    <t>Dólares</t>
  </si>
  <si>
    <t>Sobra Dezembro</t>
  </si>
  <si>
    <t>Resultado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</si>
</sst>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enorite"/>
    </font>
    <font>
      <b/>
      <sz val="11"/>
      <color theme="1"/>
      <name val="Tenorite"/>
    </font>
    <font>
      <b/>
      <sz val="11"/>
      <name val="Tenorite"/>
    </font>
    <font>
      <b/>
      <sz val="11"/>
      <color theme="0"/>
      <name val="Tenorite"/>
    </font>
    <font>
      <sz val="11"/>
      <name val="Tenorite"/>
    </font>
    <font>
      <sz val="10"/>
      <name val="Tenorite"/>
    </font>
    <font>
      <b/>
      <sz val="11"/>
      <color rgb="FFFF0000"/>
      <name val="Tenorite"/>
    </font>
    <font>
      <b/>
      <sz val="10"/>
      <color theme="1"/>
      <name val="Tenorite"/>
    </font>
    <font>
      <sz val="10"/>
      <color theme="1"/>
      <name val="Tenorite"/>
    </font>
    <font>
      <b/>
      <sz val="10"/>
      <name val="Tenorite"/>
    </font>
  </fonts>
  <fills count="1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dashed">
        <color auto="1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 style="thin">
        <color auto="1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8">
    <xf numFmtId="0" fontId="0" fillId="0" borderId="0" xfId="0"/>
    <xf numFmtId="0" fontId="2" fillId="0" borderId="0" xfId="0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0" fontId="2" fillId="0" borderId="0" xfId="0" applyFont="1" applyAlignment="1">
      <alignment vertical="center"/>
    </xf>
    <xf numFmtId="44" fontId="2" fillId="0" borderId="0" xfId="1" applyFont="1" applyBorder="1" applyAlignment="1">
      <alignment horizontal="center" vertical="center"/>
    </xf>
    <xf numFmtId="9" fontId="2" fillId="0" borderId="0" xfId="2" applyFont="1" applyBorder="1" applyAlignment="1">
      <alignment horizontal="center" vertical="center"/>
    </xf>
    <xf numFmtId="44" fontId="2" fillId="0" borderId="4" xfId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4" fontId="3" fillId="0" borderId="9" xfId="1" applyFont="1" applyBorder="1" applyAlignment="1">
      <alignment horizontal="center" vertical="center"/>
    </xf>
    <xf numFmtId="9" fontId="2" fillId="0" borderId="9" xfId="2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9" fontId="3" fillId="0" borderId="9" xfId="2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4" fontId="2" fillId="0" borderId="12" xfId="1" applyFont="1" applyBorder="1" applyAlignment="1">
      <alignment horizontal="center" vertical="center"/>
    </xf>
    <xf numFmtId="9" fontId="2" fillId="0" borderId="12" xfId="2" applyFont="1" applyBorder="1" applyAlignment="1">
      <alignment horizontal="center" vertical="center"/>
    </xf>
    <xf numFmtId="44" fontId="6" fillId="0" borderId="0" xfId="1" applyFont="1" applyBorder="1" applyAlignment="1">
      <alignment horizontal="center" vertical="center"/>
    </xf>
    <xf numFmtId="44" fontId="4" fillId="0" borderId="9" xfId="1" applyFont="1" applyBorder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4" fontId="2" fillId="0" borderId="16" xfId="1" applyFont="1" applyBorder="1" applyAlignment="1">
      <alignment horizontal="center" vertical="center"/>
    </xf>
    <xf numFmtId="44" fontId="9" fillId="0" borderId="17" xfId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44" fontId="3" fillId="0" borderId="0" xfId="1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44" fontId="7" fillId="0" borderId="0" xfId="1" applyFont="1" applyFill="1" applyBorder="1" applyAlignment="1">
      <alignment horizontal="right"/>
    </xf>
    <xf numFmtId="9" fontId="9" fillId="0" borderId="20" xfId="2" applyFont="1" applyBorder="1" applyAlignment="1">
      <alignment horizontal="left" vertical="center"/>
    </xf>
    <xf numFmtId="44" fontId="2" fillId="0" borderId="30" xfId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/>
    </xf>
    <xf numFmtId="0" fontId="3" fillId="3" borderId="32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44" fontId="3" fillId="0" borderId="14" xfId="0" applyNumberFormat="1" applyFont="1" applyBorder="1" applyAlignment="1">
      <alignment horizontal="center" vertical="center"/>
    </xf>
    <xf numFmtId="44" fontId="5" fillId="8" borderId="14" xfId="0" applyNumberFormat="1" applyFont="1" applyFill="1" applyBorder="1" applyAlignment="1">
      <alignment horizontal="center" vertical="center"/>
    </xf>
    <xf numFmtId="44" fontId="2" fillId="0" borderId="14" xfId="0" applyNumberFormat="1" applyFont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4" fontId="4" fillId="11" borderId="14" xfId="0" applyNumberFormat="1" applyFont="1" applyFill="1" applyBorder="1" applyAlignment="1">
      <alignment horizontal="center" vertical="center"/>
    </xf>
    <xf numFmtId="44" fontId="3" fillId="0" borderId="1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3" borderId="0" xfId="1" applyFont="1" applyFill="1" applyBorder="1" applyAlignment="1">
      <alignment horizontal="right" vertical="center"/>
    </xf>
    <xf numFmtId="17" fontId="3" fillId="0" borderId="0" xfId="0" applyNumberFormat="1" applyFont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44" fontId="3" fillId="0" borderId="35" xfId="1" applyFont="1" applyBorder="1" applyAlignment="1">
      <alignment horizontal="right" vertical="center"/>
    </xf>
    <xf numFmtId="44" fontId="2" fillId="3" borderId="4" xfId="1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9" fontId="4" fillId="3" borderId="5" xfId="2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44" fontId="2" fillId="9" borderId="28" xfId="1" applyFont="1" applyFill="1" applyBorder="1" applyAlignment="1">
      <alignment horizontal="center" vertical="center"/>
    </xf>
    <xf numFmtId="9" fontId="2" fillId="9" borderId="28" xfId="2" applyFont="1" applyFill="1" applyBorder="1" applyAlignment="1">
      <alignment horizontal="center" vertical="center"/>
    </xf>
    <xf numFmtId="0" fontId="5" fillId="10" borderId="27" xfId="0" applyFont="1" applyFill="1" applyBorder="1" applyAlignment="1">
      <alignment horizontal="center" vertical="center" wrapText="1"/>
    </xf>
    <xf numFmtId="44" fontId="7" fillId="0" borderId="0" xfId="1" applyFont="1" applyFill="1" applyBorder="1"/>
    <xf numFmtId="0" fontId="10" fillId="0" borderId="0" xfId="0" applyFont="1" applyAlignment="1">
      <alignment horizontal="right" vertical="center"/>
    </xf>
    <xf numFmtId="44" fontId="10" fillId="0" borderId="0" xfId="1" applyFont="1" applyFill="1" applyBorder="1" applyAlignment="1">
      <alignment horizontal="center" vertical="center"/>
    </xf>
    <xf numFmtId="0" fontId="7" fillId="9" borderId="0" xfId="0" applyFont="1" applyFill="1" applyAlignment="1">
      <alignment horizontal="right" vertical="center"/>
    </xf>
    <xf numFmtId="44" fontId="7" fillId="9" borderId="0" xfId="1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11" fillId="9" borderId="0" xfId="0" applyFont="1" applyFill="1" applyAlignment="1">
      <alignment horizontal="right" vertical="center"/>
    </xf>
    <xf numFmtId="44" fontId="11" fillId="9" borderId="0" xfId="1" applyFont="1" applyFill="1" applyBorder="1" applyAlignment="1">
      <alignment horizontal="right"/>
    </xf>
    <xf numFmtId="0" fontId="10" fillId="9" borderId="0" xfId="0" applyFont="1" applyFill="1" applyAlignment="1">
      <alignment horizontal="right" vertical="center"/>
    </xf>
    <xf numFmtId="0" fontId="11" fillId="0" borderId="0" xfId="0" applyFont="1" applyAlignment="1">
      <alignment horizontal="right" vertical="center"/>
    </xf>
    <xf numFmtId="44" fontId="11" fillId="0" borderId="0" xfId="1" applyFont="1" applyFill="1" applyBorder="1" applyAlignment="1">
      <alignment horizontal="right"/>
    </xf>
    <xf numFmtId="44" fontId="10" fillId="0" borderId="0" xfId="1" applyFont="1" applyBorder="1" applyAlignment="1">
      <alignment horizontal="right" vertical="center"/>
    </xf>
    <xf numFmtId="9" fontId="3" fillId="3" borderId="5" xfId="2" applyFont="1" applyFill="1" applyBorder="1" applyAlignment="1">
      <alignment horizontal="center" vertical="center"/>
    </xf>
    <xf numFmtId="9" fontId="2" fillId="0" borderId="35" xfId="2" applyFont="1" applyBorder="1" applyAlignment="1">
      <alignment horizontal="center" vertical="center"/>
    </xf>
    <xf numFmtId="44" fontId="4" fillId="3" borderId="6" xfId="1" applyFont="1" applyFill="1" applyBorder="1" applyAlignment="1">
      <alignment horizontal="center" vertical="center"/>
    </xf>
    <xf numFmtId="44" fontId="2" fillId="0" borderId="10" xfId="1" applyFont="1" applyBorder="1" applyAlignment="1">
      <alignment horizontal="center" vertical="center"/>
    </xf>
    <xf numFmtId="44" fontId="2" fillId="9" borderId="29" xfId="1" applyFont="1" applyFill="1" applyBorder="1" applyAlignment="1">
      <alignment horizontal="center" vertical="center"/>
    </xf>
    <xf numFmtId="44" fontId="3" fillId="0" borderId="4" xfId="1" applyFont="1" applyBorder="1" applyAlignment="1">
      <alignment horizontal="center" vertical="center"/>
    </xf>
    <xf numFmtId="44" fontId="3" fillId="0" borderId="10" xfId="1" applyFont="1" applyBorder="1" applyAlignment="1">
      <alignment horizontal="center" vertical="center"/>
    </xf>
    <xf numFmtId="44" fontId="2" fillId="0" borderId="13" xfId="1" applyFont="1" applyBorder="1" applyAlignment="1">
      <alignment horizontal="center" vertical="center"/>
    </xf>
    <xf numFmtId="44" fontId="2" fillId="0" borderId="34" xfId="1" applyFont="1" applyBorder="1" applyAlignment="1">
      <alignment horizontal="center" vertical="center"/>
    </xf>
    <xf numFmtId="10" fontId="2" fillId="0" borderId="0" xfId="2" applyNumberFormat="1" applyFont="1" applyBorder="1" applyAlignment="1">
      <alignment horizontal="center" vertical="center"/>
    </xf>
    <xf numFmtId="10" fontId="2" fillId="0" borderId="0" xfId="2" applyNumberFormat="1" applyFont="1" applyAlignment="1">
      <alignment horizontal="center" vertical="center"/>
    </xf>
    <xf numFmtId="10" fontId="4" fillId="3" borderId="5" xfId="0" applyNumberFormat="1" applyFont="1" applyFill="1" applyBorder="1" applyAlignment="1">
      <alignment horizontal="center" vertical="center"/>
    </xf>
    <xf numFmtId="10" fontId="8" fillId="3" borderId="0" xfId="2" applyNumberFormat="1" applyFont="1" applyFill="1" applyBorder="1" applyAlignment="1">
      <alignment horizontal="center" vertical="center"/>
    </xf>
    <xf numFmtId="10" fontId="2" fillId="0" borderId="9" xfId="2" applyNumberFormat="1" applyFont="1" applyBorder="1" applyAlignment="1">
      <alignment horizontal="center" vertical="center"/>
    </xf>
    <xf numFmtId="10" fontId="2" fillId="9" borderId="28" xfId="2" applyNumberFormat="1" applyFont="1" applyFill="1" applyBorder="1" applyAlignment="1">
      <alignment horizontal="center" vertical="center"/>
    </xf>
    <xf numFmtId="10" fontId="3" fillId="0" borderId="9" xfId="2" applyNumberFormat="1" applyFont="1" applyBorder="1" applyAlignment="1">
      <alignment horizontal="center" vertical="center"/>
    </xf>
    <xf numFmtId="10" fontId="2" fillId="0" borderId="12" xfId="2" applyNumberFormat="1" applyFont="1" applyBorder="1" applyAlignment="1">
      <alignment horizontal="center" vertical="center"/>
    </xf>
    <xf numFmtId="10" fontId="3" fillId="0" borderId="0" xfId="2" applyNumberFormat="1" applyFont="1" applyBorder="1" applyAlignment="1">
      <alignment horizontal="center" vertical="center"/>
    </xf>
    <xf numFmtId="10" fontId="8" fillId="0" borderId="35" xfId="2" applyNumberFormat="1" applyFont="1" applyBorder="1" applyAlignment="1">
      <alignment horizontal="center" vertical="center"/>
    </xf>
    <xf numFmtId="0" fontId="4" fillId="3" borderId="2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9" fontId="2" fillId="3" borderId="0" xfId="2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44" fontId="3" fillId="3" borderId="2" xfId="1" applyFont="1" applyFill="1" applyBorder="1" applyAlignment="1">
      <alignment horizontal="right" vertical="center"/>
    </xf>
    <xf numFmtId="10" fontId="8" fillId="3" borderId="2" xfId="2" applyNumberFormat="1" applyFont="1" applyFill="1" applyBorder="1" applyAlignment="1">
      <alignment horizontal="center" vertical="center"/>
    </xf>
    <xf numFmtId="9" fontId="2" fillId="3" borderId="2" xfId="2" applyFont="1" applyFill="1" applyBorder="1" applyAlignment="1">
      <alignment horizontal="center" vertical="center"/>
    </xf>
    <xf numFmtId="44" fontId="2" fillId="3" borderId="3" xfId="1" applyFont="1" applyFill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44" fontId="3" fillId="0" borderId="36" xfId="1" applyFont="1" applyBorder="1" applyAlignment="1">
      <alignment horizontal="right" vertical="center"/>
    </xf>
    <xf numFmtId="10" fontId="8" fillId="0" borderId="36" xfId="2" applyNumberFormat="1" applyFont="1" applyBorder="1" applyAlignment="1">
      <alignment horizontal="center" vertical="center"/>
    </xf>
    <xf numFmtId="9" fontId="2" fillId="0" borderId="36" xfId="2" applyFont="1" applyBorder="1" applyAlignment="1">
      <alignment horizontal="center" vertical="center"/>
    </xf>
    <xf numFmtId="44" fontId="2" fillId="0" borderId="37" xfId="1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44" fontId="11" fillId="0" borderId="0" xfId="1" applyFont="1" applyFill="1" applyBorder="1"/>
    <xf numFmtId="10" fontId="10" fillId="0" borderId="0" xfId="2" applyNumberFormat="1" applyFont="1" applyBorder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0" fontId="11" fillId="12" borderId="0" xfId="0" applyFont="1" applyFill="1" applyAlignment="1">
      <alignment horizontal="right" vertical="center"/>
    </xf>
    <xf numFmtId="44" fontId="11" fillId="12" borderId="0" xfId="1" applyFont="1" applyFill="1" applyBorder="1" applyAlignment="1">
      <alignment horizontal="right"/>
    </xf>
    <xf numFmtId="0" fontId="9" fillId="9" borderId="0" xfId="0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  <xf numFmtId="44" fontId="9" fillId="0" borderId="0" xfId="1" applyFont="1" applyFill="1" applyBorder="1" applyAlignment="1">
      <alignment horizontal="center" vertical="center"/>
    </xf>
    <xf numFmtId="0" fontId="9" fillId="12" borderId="0" xfId="0" applyFont="1" applyFill="1" applyAlignment="1">
      <alignment horizontal="right" vertical="center"/>
    </xf>
    <xf numFmtId="0" fontId="10" fillId="0" borderId="0" xfId="0" applyFont="1" applyAlignment="1">
      <alignment horizontal="center" vertical="center"/>
    </xf>
    <xf numFmtId="44" fontId="10" fillId="0" borderId="0" xfId="1" applyFont="1" applyAlignment="1">
      <alignment horizontal="center" vertical="center"/>
    </xf>
    <xf numFmtId="10" fontId="10" fillId="0" borderId="0" xfId="2" applyNumberFormat="1" applyFont="1" applyAlignment="1">
      <alignment horizontal="center" vertical="center"/>
    </xf>
    <xf numFmtId="9" fontId="10" fillId="0" borderId="0" xfId="2" applyFont="1" applyAlignment="1">
      <alignment horizontal="center" vertical="center"/>
    </xf>
    <xf numFmtId="44" fontId="10" fillId="0" borderId="4" xfId="1" applyFont="1" applyBorder="1" applyAlignment="1">
      <alignment horizontal="center" vertical="center"/>
    </xf>
    <xf numFmtId="9" fontId="9" fillId="0" borderId="0" xfId="2" applyFont="1" applyAlignment="1">
      <alignment horizontal="center" vertical="center"/>
    </xf>
    <xf numFmtId="10" fontId="9" fillId="12" borderId="0" xfId="2" applyNumberFormat="1" applyFont="1" applyFill="1" applyBorder="1" applyAlignment="1">
      <alignment horizontal="center" vertical="center"/>
    </xf>
    <xf numFmtId="9" fontId="3" fillId="12" borderId="0" xfId="2" applyFont="1" applyFill="1" applyBorder="1" applyAlignment="1">
      <alignment horizontal="center" vertical="center"/>
    </xf>
    <xf numFmtId="44" fontId="3" fillId="12" borderId="4" xfId="1" applyFont="1" applyFill="1" applyBorder="1" applyAlignment="1">
      <alignment horizontal="center" vertical="center"/>
    </xf>
    <xf numFmtId="44" fontId="9" fillId="0" borderId="4" xfId="1" applyFont="1" applyBorder="1" applyAlignment="1">
      <alignment horizontal="center" vertical="center"/>
    </xf>
    <xf numFmtId="10" fontId="10" fillId="12" borderId="0" xfId="2" applyNumberFormat="1" applyFont="1" applyFill="1" applyBorder="1" applyAlignment="1">
      <alignment horizontal="center" vertical="center"/>
    </xf>
    <xf numFmtId="9" fontId="2" fillId="12" borderId="0" xfId="2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44" fontId="2" fillId="12" borderId="0" xfId="1" applyFont="1" applyFill="1" applyAlignment="1">
      <alignment horizontal="center" vertical="center"/>
    </xf>
    <xf numFmtId="44" fontId="7" fillId="0" borderId="0" xfId="1" applyFont="1" applyFill="1" applyBorder="1" applyAlignment="1">
      <alignment vertical="center"/>
    </xf>
    <xf numFmtId="44" fontId="11" fillId="0" borderId="0" xfId="1" applyFont="1" applyFill="1" applyBorder="1" applyAlignment="1">
      <alignment vertical="center"/>
    </xf>
    <xf numFmtId="44" fontId="7" fillId="9" borderId="0" xfId="1" applyFont="1" applyFill="1" applyBorder="1" applyAlignment="1">
      <alignment horizontal="right" vertical="center"/>
    </xf>
    <xf numFmtId="44" fontId="7" fillId="0" borderId="0" xfId="1" applyFont="1" applyFill="1" applyBorder="1" applyAlignment="1">
      <alignment horizontal="right" vertical="center"/>
    </xf>
    <xf numFmtId="44" fontId="11" fillId="9" borderId="0" xfId="1" applyFont="1" applyFill="1" applyBorder="1" applyAlignment="1">
      <alignment horizontal="right" vertical="center"/>
    </xf>
    <xf numFmtId="44" fontId="8" fillId="0" borderId="12" xfId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3" borderId="21" xfId="0" applyFont="1" applyFill="1" applyBorder="1" applyAlignment="1">
      <alignment horizontal="center" vertical="center" textRotation="90" wrapText="1"/>
    </xf>
    <xf numFmtId="0" fontId="4" fillId="3" borderId="33" xfId="0" applyFont="1" applyFill="1" applyBorder="1" applyAlignment="1">
      <alignment horizontal="center" vertical="center" textRotation="90" wrapText="1"/>
    </xf>
    <xf numFmtId="0" fontId="5" fillId="2" borderId="7" xfId="0" applyFont="1" applyFill="1" applyBorder="1" applyAlignment="1">
      <alignment horizontal="center" vertical="center" textRotation="90"/>
    </xf>
    <xf numFmtId="0" fontId="5" fillId="2" borderId="8" xfId="0" applyFont="1" applyFill="1" applyBorder="1" applyAlignment="1">
      <alignment horizontal="center" vertical="center" textRotation="90"/>
    </xf>
    <xf numFmtId="0" fontId="5" fillId="4" borderId="7" xfId="0" applyFont="1" applyFill="1" applyBorder="1" applyAlignment="1">
      <alignment horizontal="center" vertical="center" textRotation="90"/>
    </xf>
    <xf numFmtId="0" fontId="5" fillId="4" borderId="8" xfId="0" applyFont="1" applyFill="1" applyBorder="1" applyAlignment="1">
      <alignment horizontal="center" vertical="center" textRotation="90"/>
    </xf>
    <xf numFmtId="9" fontId="3" fillId="0" borderId="0" xfId="2" applyFont="1" applyAlignment="1">
      <alignment horizontal="center" vertical="center"/>
    </xf>
    <xf numFmtId="9" fontId="3" fillId="0" borderId="9" xfId="2" applyFont="1" applyBorder="1" applyAlignment="1">
      <alignment horizontal="center" vertical="center"/>
    </xf>
    <xf numFmtId="44" fontId="3" fillId="0" borderId="4" xfId="1" applyFont="1" applyBorder="1" applyAlignment="1">
      <alignment horizontal="center" vertical="center"/>
    </xf>
    <xf numFmtId="44" fontId="3" fillId="0" borderId="10" xfId="1" applyFont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 textRotation="90"/>
    </xf>
    <xf numFmtId="0" fontId="5" fillId="5" borderId="7" xfId="0" applyFont="1" applyFill="1" applyBorder="1" applyAlignment="1">
      <alignment horizontal="center" vertical="center" textRotation="90"/>
    </xf>
    <xf numFmtId="0" fontId="5" fillId="5" borderId="8" xfId="0" applyFont="1" applyFill="1" applyBorder="1" applyAlignment="1">
      <alignment horizontal="center" vertical="center" textRotation="90"/>
    </xf>
    <xf numFmtId="0" fontId="5" fillId="6" borderId="11" xfId="0" applyFont="1" applyFill="1" applyBorder="1" applyAlignment="1">
      <alignment horizontal="center" vertical="center" textRotation="90" wrapText="1"/>
    </xf>
    <xf numFmtId="0" fontId="5" fillId="6" borderId="7" xfId="0" applyFont="1" applyFill="1" applyBorder="1" applyAlignment="1">
      <alignment horizontal="center" vertical="center" textRotation="90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 textRotation="90" wrapText="1"/>
    </xf>
    <xf numFmtId="0" fontId="9" fillId="0" borderId="23" xfId="0" applyFont="1" applyBorder="1" applyAlignment="1">
      <alignment horizontal="center" vertical="center" textRotation="90" wrapText="1"/>
    </xf>
    <xf numFmtId="0" fontId="9" fillId="0" borderId="21" xfId="0" applyFont="1" applyBorder="1" applyAlignment="1">
      <alignment horizontal="center" vertical="center" textRotation="90" wrapText="1"/>
    </xf>
    <xf numFmtId="0" fontId="9" fillId="0" borderId="24" xfId="0" applyFont="1" applyBorder="1" applyAlignment="1">
      <alignment horizontal="center" vertical="center" textRotation="90" wrapText="1"/>
    </xf>
    <xf numFmtId="0" fontId="9" fillId="0" borderId="22" xfId="0" applyFont="1" applyBorder="1" applyAlignment="1">
      <alignment horizontal="center" vertical="center" textRotation="90" wrapText="1"/>
    </xf>
    <xf numFmtId="0" fontId="9" fillId="0" borderId="25" xfId="0" applyFont="1" applyBorder="1" applyAlignment="1">
      <alignment horizontal="center" vertical="center" textRotation="90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9" fontId="3" fillId="0" borderId="0" xfId="2" applyFont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 textRotation="90" wrapText="1"/>
    </xf>
  </cellXfs>
  <cellStyles count="3">
    <cellStyle name="Moeda" xfId="1" builtinId="4"/>
    <cellStyle name="Normal" xfId="0" builtinId="0"/>
    <cellStyle name="Porcentagem" xfId="2" builtinId="5"/>
  </cellStyles>
  <dxfs count="58">
    <dxf>
      <font>
        <color theme="9" tint="0.39994506668294322"/>
      </font>
      <fill>
        <patternFill patternType="none">
          <bgColor auto="1"/>
        </patternFill>
      </fill>
    </dxf>
    <dxf>
      <font>
        <color rgb="FFFF0000"/>
      </font>
    </dxf>
    <dxf>
      <font>
        <color theme="9" tint="0.39994506668294322"/>
      </font>
      <fill>
        <patternFill patternType="none">
          <bgColor auto="1"/>
        </patternFill>
      </fill>
    </dxf>
    <dxf>
      <font>
        <color rgb="FFFF0000"/>
      </font>
    </dxf>
    <dxf>
      <font>
        <color theme="9" tint="0.39994506668294322"/>
      </font>
      <fill>
        <patternFill patternType="none">
          <bgColor auto="1"/>
        </patternFill>
      </fill>
    </dxf>
    <dxf>
      <font>
        <color rgb="FFFF0000"/>
      </font>
    </dxf>
    <dxf>
      <font>
        <color theme="9" tint="0.39994506668294322"/>
      </font>
      <fill>
        <patternFill patternType="none">
          <bgColor auto="1"/>
        </patternFill>
      </fill>
    </dxf>
    <dxf>
      <font>
        <color rgb="FFFF0000"/>
      </font>
    </dxf>
    <dxf>
      <font>
        <color theme="9" tint="0.39994506668294322"/>
      </font>
      <fill>
        <patternFill patternType="none">
          <bgColor auto="1"/>
        </patternFill>
      </fill>
    </dxf>
    <dxf>
      <font>
        <color rgb="FFFF0000"/>
      </font>
    </dxf>
    <dxf>
      <font>
        <color theme="9" tint="0.39994506668294322"/>
      </font>
      <fill>
        <patternFill patternType="none">
          <bgColor auto="1"/>
        </patternFill>
      </fill>
    </dxf>
    <dxf>
      <font>
        <color rgb="FFFF0000"/>
      </font>
    </dxf>
    <dxf>
      <font>
        <color theme="9" tint="0.39994506668294322"/>
      </font>
      <fill>
        <patternFill patternType="none">
          <bgColor auto="1"/>
        </patternFill>
      </fill>
    </dxf>
    <dxf>
      <font>
        <color rgb="FFFF0000"/>
      </font>
    </dxf>
    <dxf>
      <font>
        <color theme="9" tint="0.39994506668294322"/>
      </font>
      <fill>
        <patternFill patternType="none">
          <bgColor auto="1"/>
        </patternFill>
      </fill>
    </dxf>
    <dxf>
      <font>
        <color rgb="FFFF0000"/>
      </font>
    </dxf>
    <dxf>
      <font>
        <color theme="9" tint="0.39994506668294322"/>
      </font>
      <fill>
        <patternFill patternType="none">
          <bgColor auto="1"/>
        </patternFill>
      </fill>
    </dxf>
    <dxf>
      <font>
        <color rgb="FFFF0000"/>
      </font>
    </dxf>
    <dxf>
      <font>
        <color theme="9" tint="0.39994506668294322"/>
      </font>
      <fill>
        <patternFill patternType="none">
          <bgColor auto="1"/>
        </patternFill>
      </fill>
    </dxf>
    <dxf>
      <font>
        <color rgb="FFFF0000"/>
      </font>
    </dxf>
    <dxf>
      <font>
        <color theme="9" tint="0.39994506668294322"/>
      </font>
      <fill>
        <patternFill patternType="none">
          <bgColor auto="1"/>
        </patternFill>
      </fill>
    </dxf>
    <dxf>
      <font>
        <color rgb="FFFF0000"/>
      </font>
    </dxf>
    <dxf>
      <font>
        <color theme="9" tint="0.39994506668294322"/>
      </font>
      <fill>
        <patternFill patternType="none">
          <bgColor auto="1"/>
        </patternFill>
      </fill>
    </dxf>
    <dxf>
      <font>
        <color rgb="FFFF0000"/>
      </font>
    </dxf>
    <dxf>
      <font>
        <color theme="9" tint="0.39994506668294322"/>
      </font>
      <fill>
        <patternFill patternType="none">
          <bgColor auto="1"/>
        </patternFill>
      </fill>
    </dxf>
    <dxf>
      <font>
        <color rgb="FFFF0000"/>
      </font>
    </dxf>
    <dxf>
      <font>
        <color theme="9" tint="0.39994506668294322"/>
      </font>
      <fill>
        <patternFill patternType="none">
          <bgColor auto="1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01"/>
      </font>
    </dxf>
    <dxf>
      <font>
        <color rgb="FFFF0000"/>
      </font>
    </dxf>
  </dxfs>
  <tableStyles count="0" defaultTableStyle="TableStyleMedium2" defaultPivotStyle="PivotStyleLight16"/>
  <colors>
    <mruColors>
      <color rgb="FF008080"/>
      <color rgb="FF00FFFF"/>
      <color rgb="FFCC66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687666</xdr:colOff>
      <xdr:row>1</xdr:row>
      <xdr:rowOff>68916</xdr:rowOff>
    </xdr:from>
    <xdr:to>
      <xdr:col>8</xdr:col>
      <xdr:colOff>228040</xdr:colOff>
      <xdr:row>9</xdr:row>
      <xdr:rowOff>3611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AB5AD9-4154-22CD-1D2B-F003F199C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2725" y="248210"/>
          <a:ext cx="2864599" cy="1348317"/>
        </a:xfrm>
        <a:prstGeom prst="rect">
          <a:avLst/>
        </a:prstGeom>
      </xdr:spPr>
    </xdr:pic>
    <xdr:clientData/>
  </xdr:twoCellAnchor>
  <xdr:twoCellAnchor editAs="oneCell">
    <xdr:from>
      <xdr:col>8</xdr:col>
      <xdr:colOff>408267</xdr:colOff>
      <xdr:row>1</xdr:row>
      <xdr:rowOff>51174</xdr:rowOff>
    </xdr:from>
    <xdr:to>
      <xdr:col>11</xdr:col>
      <xdr:colOff>39455</xdr:colOff>
      <xdr:row>9</xdr:row>
      <xdr:rowOff>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54213AD-61BF-C123-7C45-CF872B024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6649" y="230468"/>
          <a:ext cx="2897469" cy="1359971"/>
        </a:xfrm>
        <a:prstGeom prst="rect">
          <a:avLst/>
        </a:prstGeom>
      </xdr:spPr>
    </xdr:pic>
    <xdr:clientData/>
  </xdr:twoCellAnchor>
  <xdr:twoCellAnchor editAs="oneCell">
    <xdr:from>
      <xdr:col>11</xdr:col>
      <xdr:colOff>112563</xdr:colOff>
      <xdr:row>1</xdr:row>
      <xdr:rowOff>54204</xdr:rowOff>
    </xdr:from>
    <xdr:to>
      <xdr:col>15</xdr:col>
      <xdr:colOff>422751</xdr:colOff>
      <xdr:row>9</xdr:row>
      <xdr:rowOff>2079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6021061-1B46-9D74-DC8E-3436322E2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42563" y="220892"/>
          <a:ext cx="2756843" cy="128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40A5-22FD-40C3-BB1C-C19879D404C7}">
  <sheetPr>
    <outlinePr summaryBelow="0"/>
  </sheetPr>
  <dimension ref="B3:N828"/>
  <sheetViews>
    <sheetView showGridLines="0" tabSelected="1" zoomScale="80" zoomScaleNormal="80" workbookViewId="0">
      <pane ySplit="11" topLeftCell="A101" activePane="bottomLeft" state="frozen"/>
      <selection pane="bottomLeft" activeCell="E107" sqref="E107"/>
    </sheetView>
  </sheetViews>
  <sheetFormatPr defaultColWidth="8.88671875" defaultRowHeight="13.8" outlineLevelRow="2" x14ac:dyDescent="0.3"/>
  <cols>
    <col min="1" max="1" width="3.109375" style="1" customWidth="1"/>
    <col min="2" max="2" width="6.21875" style="1" customWidth="1"/>
    <col min="3" max="3" width="5.44140625" style="1" customWidth="1"/>
    <col min="4" max="4" width="30.21875" style="1" customWidth="1"/>
    <col min="5" max="5" width="30.5546875" style="2" customWidth="1"/>
    <col min="6" max="6" width="17.21875" style="75" customWidth="1"/>
    <col min="7" max="7" width="15" style="3" bestFit="1" customWidth="1"/>
    <col min="8" max="8" width="15.21875" style="2" customWidth="1"/>
    <col min="9" max="9" width="10.44140625" style="1" customWidth="1"/>
    <col min="10" max="10" width="27.21875" style="1" customWidth="1"/>
    <col min="11" max="16384" width="8.88671875" style="1"/>
  </cols>
  <sheetData>
    <row r="3" spans="2:14" x14ac:dyDescent="0.3">
      <c r="D3" s="19"/>
    </row>
    <row r="4" spans="2:14" x14ac:dyDescent="0.3">
      <c r="B4" s="145" t="s">
        <v>69</v>
      </c>
      <c r="C4" s="146"/>
      <c r="D4" s="22" t="s">
        <v>58</v>
      </c>
      <c r="E4" s="21" t="s">
        <v>73</v>
      </c>
    </row>
    <row r="5" spans="2:14" ht="13.95" customHeight="1" x14ac:dyDescent="0.3">
      <c r="B5" s="147">
        <v>2025</v>
      </c>
      <c r="C5" s="148"/>
      <c r="D5" s="28" t="s">
        <v>66</v>
      </c>
      <c r="E5" s="20">
        <f>E23</f>
        <v>0</v>
      </c>
    </row>
    <row r="6" spans="2:14" x14ac:dyDescent="0.3">
      <c r="B6" s="149"/>
      <c r="C6" s="150"/>
      <c r="D6" s="29" t="s">
        <v>67</v>
      </c>
      <c r="E6" s="20">
        <f>J21</f>
        <v>6625.69</v>
      </c>
    </row>
    <row r="7" spans="2:14" x14ac:dyDescent="0.3">
      <c r="B7" s="149"/>
      <c r="C7" s="150"/>
      <c r="D7" s="29" t="s">
        <v>70</v>
      </c>
      <c r="E7" s="20">
        <f>E22</f>
        <v>29371.16</v>
      </c>
    </row>
    <row r="8" spans="2:14" x14ac:dyDescent="0.3">
      <c r="B8" s="151"/>
      <c r="C8" s="152"/>
      <c r="D8" s="26" t="s">
        <v>71</v>
      </c>
      <c r="E8" s="27">
        <f>J24*-1</f>
        <v>-22745.47</v>
      </c>
    </row>
    <row r="10" spans="2:14" ht="13.95" customHeight="1" x14ac:dyDescent="0.3"/>
    <row r="11" spans="2:14" ht="19.05" customHeight="1" x14ac:dyDescent="0.3">
      <c r="B11" s="153" t="s">
        <v>59</v>
      </c>
      <c r="C11" s="154"/>
      <c r="D11" s="154"/>
      <c r="E11" s="154"/>
      <c r="F11" s="154"/>
      <c r="G11" s="154"/>
      <c r="H11" s="155"/>
      <c r="I11" s="4"/>
      <c r="J11" s="30" t="s">
        <v>68</v>
      </c>
      <c r="N11" s="129" t="s">
        <v>179</v>
      </c>
    </row>
    <row r="12" spans="2:14" ht="19.05" customHeight="1" x14ac:dyDescent="0.3">
      <c r="B12" s="45" t="s">
        <v>64</v>
      </c>
      <c r="C12" s="46" t="s">
        <v>63</v>
      </c>
      <c r="D12" s="47" t="s">
        <v>58</v>
      </c>
      <c r="E12" s="48" t="s">
        <v>25</v>
      </c>
      <c r="F12" s="76" t="s">
        <v>17</v>
      </c>
      <c r="G12" s="65" t="s">
        <v>62</v>
      </c>
      <c r="H12" s="67" t="s">
        <v>18</v>
      </c>
      <c r="I12" s="4"/>
      <c r="J12" s="39"/>
    </row>
    <row r="13" spans="2:14" x14ac:dyDescent="0.3">
      <c r="B13" s="87" t="s">
        <v>265</v>
      </c>
      <c r="C13" s="88"/>
      <c r="D13" s="88"/>
      <c r="E13" s="89"/>
      <c r="F13" s="90"/>
      <c r="G13" s="91"/>
      <c r="H13" s="92"/>
      <c r="J13" s="41"/>
    </row>
    <row r="14" spans="2:14" ht="13.95" customHeight="1" outlineLevel="1" x14ac:dyDescent="0.3">
      <c r="B14" s="130" t="s">
        <v>65</v>
      </c>
      <c r="C14" s="132" t="s">
        <v>6</v>
      </c>
      <c r="D14" s="1" t="s">
        <v>0</v>
      </c>
      <c r="E14" s="5">
        <v>7000</v>
      </c>
      <c r="F14" s="74">
        <f>E14*100/$E$22*0.01</f>
        <v>0.23832902752223611</v>
      </c>
      <c r="G14" s="6"/>
      <c r="H14" s="7"/>
      <c r="J14" s="31" t="s">
        <v>72</v>
      </c>
    </row>
    <row r="15" spans="2:14" ht="14.55" customHeight="1" outlineLevel="1" x14ac:dyDescent="0.3">
      <c r="B15" s="130"/>
      <c r="C15" s="132"/>
      <c r="D15" s="1" t="s">
        <v>8</v>
      </c>
      <c r="E15" s="5">
        <v>1200</v>
      </c>
      <c r="F15" s="74">
        <f>E15*100/$E$22*0.01</f>
        <v>4.0856404718097615E-2</v>
      </c>
      <c r="G15" s="6"/>
      <c r="H15" s="7"/>
      <c r="J15" s="32">
        <f>E22-E32</f>
        <v>19955.68</v>
      </c>
    </row>
    <row r="16" spans="2:14" ht="14.55" customHeight="1" outlineLevel="1" x14ac:dyDescent="0.3">
      <c r="B16" s="130"/>
      <c r="C16" s="132"/>
      <c r="D16" s="1" t="s">
        <v>9</v>
      </c>
      <c r="E16" s="5">
        <v>120</v>
      </c>
      <c r="F16" s="74">
        <f>E16*100/$E$22*0.01</f>
        <v>4.085640471809762E-3</v>
      </c>
      <c r="G16" s="6"/>
      <c r="H16" s="7"/>
      <c r="J16" s="32"/>
    </row>
    <row r="17" spans="2:13" ht="14.55" customHeight="1" outlineLevel="1" x14ac:dyDescent="0.3">
      <c r="B17" s="130"/>
      <c r="C17" s="132"/>
      <c r="D17" s="1" t="s">
        <v>10</v>
      </c>
      <c r="E17" s="5">
        <v>500</v>
      </c>
      <c r="F17" s="74">
        <f>E17*100/$E$22*0.01</f>
        <v>1.7023501965874006E-2</v>
      </c>
      <c r="G17" s="6"/>
      <c r="H17" s="7"/>
      <c r="J17" s="33" t="s">
        <v>74</v>
      </c>
    </row>
    <row r="18" spans="2:13" ht="14.55" customHeight="1" outlineLevel="1" x14ac:dyDescent="0.3">
      <c r="B18" s="130"/>
      <c r="C18" s="132"/>
      <c r="D18" s="1" t="s">
        <v>1</v>
      </c>
      <c r="E18" s="5">
        <v>5500</v>
      </c>
      <c r="F18" s="74">
        <f>E18*100/$E$22*0.01</f>
        <v>0.18725852162461409</v>
      </c>
      <c r="G18" s="6"/>
      <c r="H18" s="7"/>
      <c r="J18" s="32">
        <f>E22-(E32+H90)</f>
        <v>18815.68</v>
      </c>
    </row>
    <row r="19" spans="2:13" ht="14.55" customHeight="1" outlineLevel="1" x14ac:dyDescent="0.3">
      <c r="B19" s="130"/>
      <c r="C19" s="132"/>
      <c r="D19" s="1" t="s">
        <v>268</v>
      </c>
      <c r="E19" s="5">
        <v>1363.9</v>
      </c>
      <c r="F19" s="74">
        <f>E19*100/$E$22*0.01</f>
        <v>4.6436708662511123E-2</v>
      </c>
      <c r="G19" s="6"/>
      <c r="H19" s="7"/>
      <c r="J19" s="32"/>
    </row>
    <row r="20" spans="2:13" ht="14.55" customHeight="1" outlineLevel="1" x14ac:dyDescent="0.3">
      <c r="B20" s="130"/>
      <c r="C20" s="132"/>
      <c r="D20" s="1" t="s">
        <v>269</v>
      </c>
      <c r="E20" s="5">
        <v>5687.26</v>
      </c>
      <c r="F20" s="74">
        <f>E20*100/$E$22*0.01</f>
        <v>0.19363416358087321</v>
      </c>
      <c r="G20" s="6"/>
      <c r="H20" s="7"/>
      <c r="J20" s="35" t="s">
        <v>75</v>
      </c>
    </row>
    <row r="21" spans="2:13" ht="14.55" customHeight="1" outlineLevel="1" x14ac:dyDescent="0.3">
      <c r="B21" s="130"/>
      <c r="C21" s="132"/>
      <c r="D21" s="1" t="s">
        <v>267</v>
      </c>
      <c r="E21" s="5">
        <v>8000</v>
      </c>
      <c r="F21" s="74">
        <f>E21*100/$E$22*0.01</f>
        <v>0.27237603145398409</v>
      </c>
      <c r="G21" s="6"/>
      <c r="H21" s="7"/>
      <c r="J21" s="32">
        <f>E22-E32-E90-E98</f>
        <v>6625.69</v>
      </c>
    </row>
    <row r="22" spans="2:13" ht="15" customHeight="1" outlineLevel="1" thickBot="1" x14ac:dyDescent="0.35">
      <c r="B22" s="130"/>
      <c r="C22" s="133"/>
      <c r="D22" s="8"/>
      <c r="E22" s="9">
        <f>SUM(E14:E21)</f>
        <v>29371.16</v>
      </c>
      <c r="F22" s="78"/>
      <c r="G22" s="10"/>
      <c r="H22" s="68"/>
      <c r="J22" s="36"/>
    </row>
    <row r="23" spans="2:13" ht="15" customHeight="1" outlineLevel="1" thickTop="1" thickBot="1" x14ac:dyDescent="0.35">
      <c r="B23" s="130"/>
      <c r="C23" s="52" t="s">
        <v>77</v>
      </c>
      <c r="D23" s="49" t="s">
        <v>66</v>
      </c>
      <c r="E23" s="50">
        <v>0</v>
      </c>
      <c r="F23" s="79">
        <f t="shared" ref="F23:F33" si="0">E23*100/$E$22*0.01</f>
        <v>0</v>
      </c>
      <c r="G23" s="51"/>
      <c r="H23" s="69"/>
      <c r="J23" s="37" t="s">
        <v>76</v>
      </c>
    </row>
    <row r="24" spans="2:13" ht="15" customHeight="1" outlineLevel="1" thickTop="1" x14ac:dyDescent="0.3">
      <c r="B24" s="130"/>
      <c r="C24" s="134" t="s">
        <v>7</v>
      </c>
      <c r="D24" s="1" t="s">
        <v>2</v>
      </c>
      <c r="E24" s="5">
        <v>4605.3500000000004</v>
      </c>
      <c r="F24" s="74">
        <f t="shared" si="0"/>
        <v>0.15679836955707574</v>
      </c>
      <c r="G24" s="156">
        <v>0.6</v>
      </c>
      <c r="H24" s="138">
        <f>E22*60%</f>
        <v>17622.696</v>
      </c>
      <c r="J24" s="38">
        <f>SUM(E32,E90,E98)</f>
        <v>22745.47</v>
      </c>
    </row>
    <row r="25" spans="2:13" ht="14.55" customHeight="1" outlineLevel="1" x14ac:dyDescent="0.3">
      <c r="B25" s="130"/>
      <c r="C25" s="134"/>
      <c r="D25" s="1" t="s">
        <v>3</v>
      </c>
      <c r="E25" s="5">
        <v>1450</v>
      </c>
      <c r="F25" s="74">
        <f t="shared" si="0"/>
        <v>4.9368155701034623E-2</v>
      </c>
      <c r="G25" s="156"/>
      <c r="H25" s="138"/>
      <c r="M25" s="18"/>
    </row>
    <row r="26" spans="2:13" ht="14.55" customHeight="1" outlineLevel="1" x14ac:dyDescent="0.3">
      <c r="B26" s="130"/>
      <c r="C26" s="134"/>
      <c r="D26" s="1" t="s">
        <v>4</v>
      </c>
      <c r="E26" s="5">
        <v>1333.22</v>
      </c>
      <c r="F26" s="74">
        <f t="shared" si="0"/>
        <v>4.5392146581885083E-2</v>
      </c>
      <c r="G26" s="156"/>
      <c r="H26" s="138"/>
      <c r="J26" s="18"/>
    </row>
    <row r="27" spans="2:13" ht="14.55" customHeight="1" outlineLevel="1" x14ac:dyDescent="0.3">
      <c r="B27" s="130"/>
      <c r="C27" s="134"/>
      <c r="D27" s="1" t="s">
        <v>19</v>
      </c>
      <c r="E27" s="5">
        <v>1000</v>
      </c>
      <c r="F27" s="74">
        <f t="shared" si="0"/>
        <v>3.4047003931748011E-2</v>
      </c>
      <c r="G27" s="156"/>
      <c r="H27" s="138"/>
    </row>
    <row r="28" spans="2:13" ht="14.55" customHeight="1" outlineLevel="1" x14ac:dyDescent="0.3">
      <c r="B28" s="130"/>
      <c r="C28" s="134"/>
      <c r="D28" s="1" t="s">
        <v>11</v>
      </c>
      <c r="E28" s="5">
        <v>110</v>
      </c>
      <c r="F28" s="74">
        <f t="shared" si="0"/>
        <v>3.7451704324922815E-3</v>
      </c>
      <c r="G28" s="156"/>
      <c r="H28" s="138"/>
      <c r="J28" s="18"/>
    </row>
    <row r="29" spans="2:13" ht="14.55" customHeight="1" outlineLevel="1" x14ac:dyDescent="0.3">
      <c r="B29" s="130"/>
      <c r="C29" s="134"/>
      <c r="D29" s="1" t="s">
        <v>12</v>
      </c>
      <c r="E29" s="5">
        <v>400</v>
      </c>
      <c r="F29" s="74">
        <f t="shared" si="0"/>
        <v>1.3618801572699207E-2</v>
      </c>
      <c r="G29" s="156"/>
      <c r="H29" s="138"/>
    </row>
    <row r="30" spans="2:13" ht="14.55" customHeight="1" outlineLevel="1" x14ac:dyDescent="0.3">
      <c r="B30" s="130"/>
      <c r="C30" s="134"/>
      <c r="D30" s="1" t="s">
        <v>13</v>
      </c>
      <c r="E30" s="5">
        <v>316.91000000000003</v>
      </c>
      <c r="F30" s="74">
        <f t="shared" si="0"/>
        <v>1.0789836016010263E-2</v>
      </c>
      <c r="G30" s="156"/>
      <c r="H30" s="138"/>
    </row>
    <row r="31" spans="2:13" ht="14.55" customHeight="1" outlineLevel="1" x14ac:dyDescent="0.3">
      <c r="B31" s="130"/>
      <c r="C31" s="134"/>
      <c r="D31" s="1" t="s">
        <v>5</v>
      </c>
      <c r="E31" s="5">
        <v>200</v>
      </c>
      <c r="F31" s="74">
        <f t="shared" si="0"/>
        <v>6.8094007863496037E-3</v>
      </c>
      <c r="G31" s="156"/>
      <c r="H31" s="138"/>
    </row>
    <row r="32" spans="2:13" ht="15" customHeight="1" outlineLevel="1" thickBot="1" x14ac:dyDescent="0.35">
      <c r="B32" s="130"/>
      <c r="C32" s="135"/>
      <c r="D32" s="11"/>
      <c r="E32" s="9">
        <f>SUM(E24:E31)</f>
        <v>9415.48</v>
      </c>
      <c r="F32" s="80">
        <f>E32*100/$E$22*0.01</f>
        <v>0.32056888457929483</v>
      </c>
      <c r="G32" s="137"/>
      <c r="H32" s="139"/>
    </row>
    <row r="33" spans="2:8" ht="19.05" customHeight="1" outlineLevel="1" collapsed="1" thickTop="1" x14ac:dyDescent="0.3">
      <c r="B33" s="130"/>
      <c r="C33" s="140" t="s">
        <v>60</v>
      </c>
      <c r="D33" s="13" t="s">
        <v>14</v>
      </c>
      <c r="E33" s="14">
        <f>SUM(E34:E68)</f>
        <v>3652.1700000000005</v>
      </c>
      <c r="F33" s="81">
        <f t="shared" si="0"/>
        <v>0.12434544634941216</v>
      </c>
      <c r="G33" s="15">
        <v>0.04</v>
      </c>
      <c r="H33" s="72">
        <v>570</v>
      </c>
    </row>
    <row r="34" spans="2:8" ht="13.95" hidden="1" customHeight="1" outlineLevel="2" x14ac:dyDescent="0.25">
      <c r="B34" s="130"/>
      <c r="C34" s="141"/>
      <c r="D34" s="24" t="s">
        <v>30</v>
      </c>
      <c r="E34" s="53">
        <v>290.95999999999998</v>
      </c>
      <c r="F34" s="74"/>
      <c r="G34" s="6"/>
      <c r="H34" s="7"/>
    </row>
    <row r="35" spans="2:8" ht="13.95" hidden="1" customHeight="1" outlineLevel="2" x14ac:dyDescent="0.25">
      <c r="B35" s="130"/>
      <c r="C35" s="141"/>
      <c r="D35" s="24" t="s">
        <v>31</v>
      </c>
      <c r="E35" s="53">
        <v>121.21</v>
      </c>
      <c r="F35" s="74"/>
      <c r="G35" s="6"/>
      <c r="H35" s="7"/>
    </row>
    <row r="36" spans="2:8" ht="13.95" hidden="1" customHeight="1" outlineLevel="2" x14ac:dyDescent="0.25">
      <c r="B36" s="130"/>
      <c r="C36" s="141"/>
      <c r="D36" s="24" t="s">
        <v>32</v>
      </c>
      <c r="E36" s="53">
        <v>81.48</v>
      </c>
      <c r="F36" s="74"/>
      <c r="G36" s="6"/>
      <c r="H36" s="7"/>
    </row>
    <row r="37" spans="2:8" ht="13.95" hidden="1" customHeight="1" outlineLevel="2" x14ac:dyDescent="0.25">
      <c r="B37" s="130"/>
      <c r="C37" s="141"/>
      <c r="D37" s="24" t="s">
        <v>33</v>
      </c>
      <c r="E37" s="53">
        <v>280.20999999999998</v>
      </c>
      <c r="F37" s="74"/>
      <c r="G37" s="6"/>
      <c r="H37" s="7"/>
    </row>
    <row r="38" spans="2:8" ht="13.95" hidden="1" customHeight="1" outlineLevel="2" x14ac:dyDescent="0.25">
      <c r="B38" s="130"/>
      <c r="C38" s="141"/>
      <c r="D38" s="24" t="s">
        <v>35</v>
      </c>
      <c r="E38" s="53">
        <v>62.84</v>
      </c>
      <c r="F38" s="74"/>
      <c r="G38" s="6"/>
      <c r="H38" s="7"/>
    </row>
    <row r="39" spans="2:8" ht="13.95" hidden="1" customHeight="1" outlineLevel="2" x14ac:dyDescent="0.25">
      <c r="B39" s="130"/>
      <c r="C39" s="141"/>
      <c r="D39" s="24" t="s">
        <v>36</v>
      </c>
      <c r="E39" s="53">
        <v>52.71</v>
      </c>
      <c r="F39" s="74"/>
      <c r="G39" s="6"/>
      <c r="H39" s="7"/>
    </row>
    <row r="40" spans="2:8" ht="13.95" hidden="1" customHeight="1" outlineLevel="2" x14ac:dyDescent="0.25">
      <c r="B40" s="130"/>
      <c r="C40" s="141"/>
      <c r="D40" s="24" t="s">
        <v>38</v>
      </c>
      <c r="E40" s="53">
        <v>36.130000000000003</v>
      </c>
      <c r="F40" s="74"/>
      <c r="G40" s="6"/>
      <c r="H40" s="7"/>
    </row>
    <row r="41" spans="2:8" ht="13.95" hidden="1" customHeight="1" outlineLevel="2" x14ac:dyDescent="0.25">
      <c r="B41" s="130"/>
      <c r="C41" s="141"/>
      <c r="D41" s="24" t="s">
        <v>39</v>
      </c>
      <c r="E41" s="53">
        <v>574.37</v>
      </c>
      <c r="F41" s="74"/>
      <c r="G41" s="6"/>
      <c r="H41" s="7"/>
    </row>
    <row r="42" spans="2:8" ht="13.95" hidden="1" customHeight="1" outlineLevel="2" x14ac:dyDescent="0.25">
      <c r="B42" s="130"/>
      <c r="C42" s="141"/>
      <c r="D42" s="24" t="s">
        <v>41</v>
      </c>
      <c r="E42" s="53">
        <v>50.29</v>
      </c>
      <c r="F42" s="74"/>
      <c r="G42" s="6"/>
      <c r="H42" s="7"/>
    </row>
    <row r="43" spans="2:8" ht="13.95" hidden="1" customHeight="1" outlineLevel="2" x14ac:dyDescent="0.25">
      <c r="B43" s="130"/>
      <c r="C43" s="141"/>
      <c r="D43" s="24" t="s">
        <v>42</v>
      </c>
      <c r="E43" s="53">
        <v>32.07</v>
      </c>
      <c r="F43" s="74"/>
      <c r="G43" s="6"/>
      <c r="H43" s="7"/>
    </row>
    <row r="44" spans="2:8" ht="13.95" hidden="1" customHeight="1" outlineLevel="2" x14ac:dyDescent="0.25">
      <c r="B44" s="130"/>
      <c r="C44" s="141"/>
      <c r="D44" s="24" t="s">
        <v>43</v>
      </c>
      <c r="E44" s="53">
        <v>156.65</v>
      </c>
      <c r="F44" s="74"/>
      <c r="G44" s="6"/>
      <c r="H44" s="7"/>
    </row>
    <row r="45" spans="2:8" ht="13.95" hidden="1" customHeight="1" outlineLevel="2" x14ac:dyDescent="0.25">
      <c r="B45" s="130"/>
      <c r="C45" s="141"/>
      <c r="D45" s="24" t="s">
        <v>44</v>
      </c>
      <c r="E45" s="53">
        <v>32.89</v>
      </c>
      <c r="F45" s="74"/>
      <c r="G45" s="6"/>
      <c r="H45" s="7"/>
    </row>
    <row r="46" spans="2:8" ht="13.95" hidden="1" customHeight="1" outlineLevel="2" x14ac:dyDescent="0.25">
      <c r="B46" s="130"/>
      <c r="C46" s="141"/>
      <c r="D46" s="24" t="s">
        <v>46</v>
      </c>
      <c r="E46" s="53">
        <v>186</v>
      </c>
      <c r="F46" s="74"/>
      <c r="G46" s="6"/>
      <c r="H46" s="7"/>
    </row>
    <row r="47" spans="2:8" ht="13.95" hidden="1" customHeight="1" outlineLevel="2" x14ac:dyDescent="0.25">
      <c r="B47" s="130"/>
      <c r="C47" s="141"/>
      <c r="D47" s="24" t="s">
        <v>57</v>
      </c>
      <c r="E47" s="53">
        <v>40.08</v>
      </c>
      <c r="F47" s="74"/>
      <c r="G47" s="6"/>
      <c r="H47" s="7"/>
    </row>
    <row r="48" spans="2:8" ht="13.95" hidden="1" customHeight="1" outlineLevel="2" x14ac:dyDescent="0.25">
      <c r="B48" s="130"/>
      <c r="C48" s="141"/>
      <c r="D48" s="24" t="s">
        <v>47</v>
      </c>
      <c r="E48" s="53">
        <v>32.99</v>
      </c>
      <c r="F48" s="74"/>
      <c r="G48" s="6"/>
      <c r="H48" s="7"/>
    </row>
    <row r="49" spans="2:8" ht="13.95" hidden="1" customHeight="1" outlineLevel="2" x14ac:dyDescent="0.25">
      <c r="B49" s="130"/>
      <c r="C49" s="141"/>
      <c r="D49" s="24" t="s">
        <v>48</v>
      </c>
      <c r="E49" s="53">
        <v>98.34</v>
      </c>
      <c r="F49" s="74"/>
      <c r="G49" s="6"/>
      <c r="H49" s="7"/>
    </row>
    <row r="50" spans="2:8" ht="13.95" hidden="1" customHeight="1" outlineLevel="2" x14ac:dyDescent="0.25">
      <c r="B50" s="130"/>
      <c r="C50" s="141"/>
      <c r="D50" s="24" t="s">
        <v>49</v>
      </c>
      <c r="E50" s="53">
        <v>52.33</v>
      </c>
      <c r="F50" s="74"/>
      <c r="G50" s="6"/>
      <c r="H50" s="7"/>
    </row>
    <row r="51" spans="2:8" ht="13.95" hidden="1" customHeight="1" outlineLevel="2" x14ac:dyDescent="0.25">
      <c r="B51" s="130"/>
      <c r="C51" s="141"/>
      <c r="D51" s="24" t="s">
        <v>50</v>
      </c>
      <c r="E51" s="53">
        <v>121.53</v>
      </c>
      <c r="F51" s="74"/>
      <c r="G51" s="6"/>
      <c r="H51" s="7"/>
    </row>
    <row r="52" spans="2:8" ht="13.95" hidden="1" customHeight="1" outlineLevel="2" x14ac:dyDescent="0.25">
      <c r="B52" s="130"/>
      <c r="C52" s="141"/>
      <c r="D52" s="24" t="s">
        <v>51</v>
      </c>
      <c r="E52" s="53">
        <v>29.66</v>
      </c>
      <c r="F52" s="74"/>
      <c r="G52" s="6"/>
      <c r="H52" s="7"/>
    </row>
    <row r="53" spans="2:8" ht="13.95" hidden="1" customHeight="1" outlineLevel="2" x14ac:dyDescent="0.25">
      <c r="B53" s="130"/>
      <c r="C53" s="141"/>
      <c r="D53" s="24" t="s">
        <v>53</v>
      </c>
      <c r="E53" s="53">
        <v>57.5</v>
      </c>
      <c r="F53" s="74"/>
      <c r="G53" s="6"/>
      <c r="H53" s="7"/>
    </row>
    <row r="54" spans="2:8" ht="13.95" hidden="1" customHeight="1" outlineLevel="2" x14ac:dyDescent="0.25">
      <c r="B54" s="130"/>
      <c r="C54" s="141"/>
      <c r="D54" s="24" t="s">
        <v>54</v>
      </c>
      <c r="E54" s="53">
        <v>175.93</v>
      </c>
      <c r="F54" s="74"/>
      <c r="G54" s="6"/>
      <c r="H54" s="7"/>
    </row>
    <row r="55" spans="2:8" ht="13.95" hidden="1" customHeight="1" outlineLevel="2" x14ac:dyDescent="0.25">
      <c r="B55" s="130"/>
      <c r="C55" s="141"/>
      <c r="D55" s="24" t="s">
        <v>55</v>
      </c>
      <c r="E55" s="53">
        <v>70.3</v>
      </c>
      <c r="F55" s="74"/>
      <c r="G55" s="6"/>
      <c r="H55" s="7"/>
    </row>
    <row r="56" spans="2:8" ht="13.95" hidden="1" customHeight="1" outlineLevel="2" x14ac:dyDescent="0.25">
      <c r="B56" s="130"/>
      <c r="C56" s="141"/>
      <c r="D56" s="24" t="s">
        <v>56</v>
      </c>
      <c r="E56" s="53">
        <v>195</v>
      </c>
      <c r="F56" s="74"/>
      <c r="G56" s="6"/>
      <c r="H56" s="7"/>
    </row>
    <row r="57" spans="2:8" ht="13.95" hidden="1" customHeight="1" outlineLevel="2" x14ac:dyDescent="0.25">
      <c r="B57" s="130"/>
      <c r="C57" s="141"/>
      <c r="D57" s="24" t="s">
        <v>52</v>
      </c>
      <c r="E57" s="53">
        <v>88.48</v>
      </c>
      <c r="F57" s="74"/>
      <c r="G57" s="6"/>
      <c r="H57" s="7"/>
    </row>
    <row r="58" spans="2:8" ht="13.95" hidden="1" customHeight="1" outlineLevel="2" x14ac:dyDescent="0.25">
      <c r="B58" s="130"/>
      <c r="C58" s="141"/>
      <c r="D58" s="54" t="s">
        <v>80</v>
      </c>
      <c r="E58" s="53">
        <v>42.15</v>
      </c>
      <c r="F58" s="74"/>
      <c r="G58" s="6"/>
      <c r="H58" s="7"/>
    </row>
    <row r="59" spans="2:8" ht="13.95" hidden="1" customHeight="1" outlineLevel="2" x14ac:dyDescent="0.25">
      <c r="B59" s="130"/>
      <c r="C59" s="141"/>
      <c r="D59" s="54" t="s">
        <v>81</v>
      </c>
      <c r="E59" s="53">
        <v>281.92</v>
      </c>
      <c r="F59" s="74"/>
      <c r="G59" s="6"/>
      <c r="H59" s="7"/>
    </row>
    <row r="60" spans="2:8" ht="13.95" hidden="1" customHeight="1" outlineLevel="2" x14ac:dyDescent="0.3">
      <c r="B60" s="130"/>
      <c r="C60" s="141"/>
      <c r="D60" s="54" t="s">
        <v>82</v>
      </c>
      <c r="E60" s="55">
        <v>55.56</v>
      </c>
      <c r="F60" s="74"/>
      <c r="G60" s="6"/>
      <c r="H60" s="7"/>
    </row>
    <row r="61" spans="2:8" ht="13.95" hidden="1" customHeight="1" outlineLevel="2" x14ac:dyDescent="0.3">
      <c r="B61" s="130"/>
      <c r="C61" s="141"/>
      <c r="D61" s="54" t="s">
        <v>83</v>
      </c>
      <c r="E61" s="55">
        <v>41.63</v>
      </c>
      <c r="F61" s="74"/>
      <c r="G61" s="6"/>
      <c r="H61" s="7"/>
    </row>
    <row r="62" spans="2:8" ht="13.95" hidden="1" customHeight="1" outlineLevel="2" x14ac:dyDescent="0.3">
      <c r="B62" s="130"/>
      <c r="C62" s="141"/>
      <c r="D62" s="54" t="s">
        <v>84</v>
      </c>
      <c r="E62" s="55">
        <v>89.06</v>
      </c>
      <c r="F62" s="74"/>
      <c r="G62" s="6"/>
      <c r="H62" s="7"/>
    </row>
    <row r="63" spans="2:8" ht="13.95" hidden="1" customHeight="1" outlineLevel="2" x14ac:dyDescent="0.3">
      <c r="B63" s="130"/>
      <c r="C63" s="141"/>
      <c r="D63" s="54" t="s">
        <v>85</v>
      </c>
      <c r="E63" s="55">
        <v>92.78</v>
      </c>
      <c r="F63" s="74"/>
      <c r="G63" s="6"/>
      <c r="H63" s="7"/>
    </row>
    <row r="64" spans="2:8" ht="13.95" hidden="1" customHeight="1" outlineLevel="2" x14ac:dyDescent="0.3">
      <c r="B64" s="130"/>
      <c r="C64" s="141"/>
      <c r="D64" s="54" t="s">
        <v>86</v>
      </c>
      <c r="E64" s="55">
        <v>23.76</v>
      </c>
      <c r="F64" s="74"/>
      <c r="G64" s="6"/>
      <c r="H64" s="7"/>
    </row>
    <row r="65" spans="2:8" ht="13.95" hidden="1" customHeight="1" outlineLevel="2" x14ac:dyDescent="0.3">
      <c r="B65" s="130"/>
      <c r="C65" s="141"/>
      <c r="D65" s="54" t="s">
        <v>87</v>
      </c>
      <c r="E65" s="55">
        <v>14.3</v>
      </c>
      <c r="F65" s="74"/>
      <c r="G65" s="6"/>
      <c r="H65" s="7"/>
    </row>
    <row r="66" spans="2:8" ht="13.95" hidden="1" customHeight="1" outlineLevel="2" x14ac:dyDescent="0.3">
      <c r="B66" s="130"/>
      <c r="C66" s="141"/>
      <c r="D66" s="54" t="s">
        <v>88</v>
      </c>
      <c r="E66" s="55">
        <v>36.659999999999997</v>
      </c>
      <c r="F66" s="74"/>
      <c r="G66" s="6"/>
      <c r="H66" s="7"/>
    </row>
    <row r="67" spans="2:8" ht="13.95" hidden="1" customHeight="1" outlineLevel="2" x14ac:dyDescent="0.3">
      <c r="B67" s="130"/>
      <c r="C67" s="141"/>
      <c r="D67" s="54" t="s">
        <v>88</v>
      </c>
      <c r="E67" s="55">
        <v>26.75</v>
      </c>
      <c r="F67" s="74"/>
      <c r="G67" s="6"/>
      <c r="H67" s="7"/>
    </row>
    <row r="68" spans="2:8" ht="13.95" hidden="1" customHeight="1" outlineLevel="2" x14ac:dyDescent="0.3">
      <c r="B68" s="130"/>
      <c r="C68" s="141"/>
      <c r="D68" s="54" t="s">
        <v>89</v>
      </c>
      <c r="E68" s="55">
        <v>27.65</v>
      </c>
      <c r="F68" s="74"/>
      <c r="G68" s="6"/>
      <c r="H68" s="7"/>
    </row>
    <row r="69" spans="2:8" ht="13.95" hidden="1" customHeight="1" outlineLevel="2" x14ac:dyDescent="0.3">
      <c r="B69" s="130"/>
      <c r="C69" s="141"/>
      <c r="E69" s="5"/>
      <c r="F69" s="74"/>
      <c r="G69" s="6"/>
      <c r="H69" s="7"/>
    </row>
    <row r="70" spans="2:8" ht="20.55" customHeight="1" outlineLevel="1" collapsed="1" x14ac:dyDescent="0.3">
      <c r="B70" s="130"/>
      <c r="C70" s="141"/>
      <c r="D70" s="1" t="s">
        <v>15</v>
      </c>
      <c r="E70" s="16">
        <f>SUM(E71:E89)</f>
        <v>2449.3700000000003</v>
      </c>
      <c r="F70" s="74">
        <f>E70*100/$E$22*0.01</f>
        <v>8.3393710020305642E-2</v>
      </c>
      <c r="G70" s="6">
        <v>0.04</v>
      </c>
      <c r="H70" s="7">
        <v>570</v>
      </c>
    </row>
    <row r="71" spans="2:8" ht="13.95" hidden="1" customHeight="1" outlineLevel="2" x14ac:dyDescent="0.25">
      <c r="B71" s="130"/>
      <c r="C71" s="141"/>
      <c r="D71" s="59" t="s">
        <v>26</v>
      </c>
      <c r="E71" s="60">
        <v>283.33</v>
      </c>
      <c r="F71" s="74"/>
      <c r="G71" s="6"/>
      <c r="H71" s="7"/>
    </row>
    <row r="72" spans="2:8" ht="13.95" hidden="1" customHeight="1" outlineLevel="2" x14ac:dyDescent="0.25">
      <c r="B72" s="130"/>
      <c r="C72" s="141"/>
      <c r="D72" s="56" t="s">
        <v>27</v>
      </c>
      <c r="E72" s="57">
        <v>89.51</v>
      </c>
      <c r="F72" s="74"/>
      <c r="G72" s="6"/>
      <c r="H72" s="7"/>
    </row>
    <row r="73" spans="2:8" ht="13.95" hidden="1" customHeight="1" outlineLevel="2" x14ac:dyDescent="0.25">
      <c r="B73" s="130"/>
      <c r="C73" s="141"/>
      <c r="D73" s="59" t="s">
        <v>28</v>
      </c>
      <c r="E73" s="60">
        <v>147.62</v>
      </c>
      <c r="F73" s="74"/>
      <c r="G73" s="6"/>
      <c r="H73" s="7"/>
    </row>
    <row r="74" spans="2:8" ht="13.95" hidden="1" customHeight="1" outlineLevel="2" x14ac:dyDescent="0.25">
      <c r="B74" s="130"/>
      <c r="C74" s="141"/>
      <c r="D74" s="56" t="s">
        <v>29</v>
      </c>
      <c r="E74" s="57">
        <v>49.49</v>
      </c>
      <c r="F74" s="74"/>
      <c r="G74" s="6"/>
      <c r="H74" s="7"/>
    </row>
    <row r="75" spans="2:8" ht="13.95" hidden="1" customHeight="1" outlineLevel="2" x14ac:dyDescent="0.25">
      <c r="B75" s="130"/>
      <c r="C75" s="141"/>
      <c r="D75" s="58" t="s">
        <v>30</v>
      </c>
      <c r="E75" s="25">
        <v>290</v>
      </c>
      <c r="F75" s="74"/>
      <c r="G75" s="6"/>
      <c r="H75" s="7"/>
    </row>
    <row r="76" spans="2:8" ht="13.95" hidden="1" customHeight="1" outlineLevel="2" x14ac:dyDescent="0.25">
      <c r="B76" s="130"/>
      <c r="C76" s="141"/>
      <c r="D76" s="56" t="s">
        <v>117</v>
      </c>
      <c r="E76" s="57">
        <v>60.69</v>
      </c>
      <c r="F76" s="74"/>
      <c r="G76" s="6"/>
      <c r="H76" s="7"/>
    </row>
    <row r="77" spans="2:8" ht="13.95" hidden="1" customHeight="1" outlineLevel="2" x14ac:dyDescent="0.25">
      <c r="B77" s="130"/>
      <c r="C77" s="141"/>
      <c r="D77" s="56" t="s">
        <v>118</v>
      </c>
      <c r="E77" s="57">
        <v>54.25</v>
      </c>
      <c r="F77" s="74"/>
      <c r="G77" s="6"/>
      <c r="H77" s="7"/>
    </row>
    <row r="78" spans="2:8" ht="13.95" hidden="1" customHeight="1" outlineLevel="2" x14ac:dyDescent="0.25">
      <c r="B78" s="130"/>
      <c r="C78" s="141"/>
      <c r="D78" s="59" t="s">
        <v>34</v>
      </c>
      <c r="E78" s="60">
        <v>89.78</v>
      </c>
      <c r="F78" s="74"/>
      <c r="G78" s="6"/>
      <c r="H78" s="7"/>
    </row>
    <row r="79" spans="2:8" ht="13.95" hidden="1" customHeight="1" outlineLevel="2" x14ac:dyDescent="0.25">
      <c r="B79" s="130"/>
      <c r="C79" s="141"/>
      <c r="D79" s="59" t="s">
        <v>37</v>
      </c>
      <c r="E79" s="60">
        <v>139.61000000000001</v>
      </c>
      <c r="F79" s="74"/>
      <c r="G79" s="6"/>
      <c r="H79" s="7"/>
    </row>
    <row r="80" spans="2:8" ht="13.95" hidden="1" customHeight="1" outlineLevel="2" x14ac:dyDescent="0.25">
      <c r="B80" s="130"/>
      <c r="C80" s="141"/>
      <c r="D80" s="62" t="s">
        <v>39</v>
      </c>
      <c r="E80" s="63">
        <v>574.37</v>
      </c>
      <c r="F80" s="74"/>
      <c r="G80" s="6"/>
      <c r="H80" s="7"/>
    </row>
    <row r="81" spans="2:8" ht="13.95" hidden="1" customHeight="1" outlineLevel="2" x14ac:dyDescent="0.25">
      <c r="B81" s="130"/>
      <c r="C81" s="141"/>
      <c r="D81" s="59" t="s">
        <v>40</v>
      </c>
      <c r="E81" s="60">
        <v>36.68</v>
      </c>
      <c r="F81" s="74"/>
      <c r="G81" s="6"/>
      <c r="H81" s="7"/>
    </row>
    <row r="82" spans="2:8" ht="13.95" hidden="1" customHeight="1" outlineLevel="2" x14ac:dyDescent="0.25">
      <c r="B82" s="130"/>
      <c r="C82" s="141"/>
      <c r="D82" s="56" t="s">
        <v>45</v>
      </c>
      <c r="E82" s="57">
        <v>180</v>
      </c>
      <c r="F82" s="74"/>
      <c r="G82" s="6"/>
      <c r="H82" s="7"/>
    </row>
    <row r="83" spans="2:8" ht="13.95" hidden="1" customHeight="1" outlineLevel="2" x14ac:dyDescent="0.25">
      <c r="B83" s="130"/>
      <c r="C83" s="141"/>
      <c r="D83" s="58" t="s">
        <v>54</v>
      </c>
      <c r="E83" s="25">
        <v>175.93</v>
      </c>
      <c r="F83" s="74"/>
      <c r="G83" s="6"/>
      <c r="H83" s="7"/>
    </row>
    <row r="84" spans="2:8" ht="13.95" hidden="1" customHeight="1" outlineLevel="2" x14ac:dyDescent="0.25">
      <c r="B84" s="130"/>
      <c r="C84" s="141"/>
      <c r="D84" s="58" t="s">
        <v>31</v>
      </c>
      <c r="E84" s="25">
        <v>115.28</v>
      </c>
      <c r="F84" s="74"/>
      <c r="G84" s="6"/>
      <c r="H84" s="7"/>
    </row>
    <row r="85" spans="2:8" ht="13.95" hidden="1" customHeight="1" outlineLevel="2" x14ac:dyDescent="0.25">
      <c r="B85" s="130"/>
      <c r="C85" s="141"/>
      <c r="D85" s="61" t="s">
        <v>119</v>
      </c>
      <c r="E85" s="57">
        <v>110</v>
      </c>
      <c r="F85" s="74"/>
      <c r="G85" s="6"/>
      <c r="H85" s="7"/>
    </row>
    <row r="86" spans="2:8" ht="13.95" hidden="1" customHeight="1" outlineLevel="2" x14ac:dyDescent="0.25">
      <c r="B86" s="130"/>
      <c r="C86" s="141"/>
      <c r="D86" s="61" t="s">
        <v>120</v>
      </c>
      <c r="E86" s="57">
        <v>52.83</v>
      </c>
      <c r="F86" s="74"/>
      <c r="G86" s="6"/>
      <c r="H86" s="7"/>
    </row>
    <row r="87" spans="2:8" ht="13.95" hidden="1" customHeight="1" outlineLevel="2" x14ac:dyDescent="0.25">
      <c r="B87" s="130"/>
      <c r="C87" s="141"/>
      <c r="E87" s="25"/>
      <c r="F87" s="74"/>
      <c r="G87" s="6"/>
      <c r="H87" s="7"/>
    </row>
    <row r="88" spans="2:8" ht="13.95" hidden="1" customHeight="1" outlineLevel="2" x14ac:dyDescent="0.25">
      <c r="B88" s="130"/>
      <c r="C88" s="141"/>
      <c r="E88" s="25"/>
      <c r="F88" s="74"/>
      <c r="G88" s="6"/>
      <c r="H88" s="7"/>
    </row>
    <row r="89" spans="2:8" ht="13.95" hidden="1" customHeight="1" outlineLevel="2" x14ac:dyDescent="0.3">
      <c r="B89" s="130"/>
      <c r="C89" s="141"/>
      <c r="E89" s="5"/>
      <c r="F89" s="74"/>
      <c r="G89" s="6"/>
      <c r="H89" s="7"/>
    </row>
    <row r="90" spans="2:8" ht="15" customHeight="1" outlineLevel="1" thickBot="1" x14ac:dyDescent="0.35">
      <c r="B90" s="130"/>
      <c r="C90" s="142"/>
      <c r="D90" s="11"/>
      <c r="E90" s="17">
        <f>E70+E33</f>
        <v>6101.5400000000009</v>
      </c>
      <c r="F90" s="80">
        <f>E90*100/$E$22*0.01</f>
        <v>0.20773915636971782</v>
      </c>
      <c r="G90" s="12">
        <f>G33+G70</f>
        <v>0.08</v>
      </c>
      <c r="H90" s="71">
        <f>H70+H33</f>
        <v>1140</v>
      </c>
    </row>
    <row r="91" spans="2:8" ht="15" customHeight="1" outlineLevel="1" thickTop="1" x14ac:dyDescent="0.3">
      <c r="B91" s="130"/>
      <c r="C91" s="143" t="s">
        <v>61</v>
      </c>
      <c r="D91" s="13" t="s">
        <v>20</v>
      </c>
      <c r="E91" s="14">
        <v>2217.88</v>
      </c>
      <c r="F91" s="81">
        <f>E91*100/$E$22*0.01</f>
        <v>7.5512169080145283E-2</v>
      </c>
      <c r="G91" s="15">
        <v>0.08</v>
      </c>
      <c r="H91" s="72">
        <v>1200</v>
      </c>
    </row>
    <row r="92" spans="2:8" ht="14.55" customHeight="1" outlineLevel="1" x14ac:dyDescent="0.3">
      <c r="B92" s="130"/>
      <c r="C92" s="144"/>
      <c r="D92" s="1" t="s">
        <v>21</v>
      </c>
      <c r="E92" s="5">
        <v>0</v>
      </c>
      <c r="F92" s="74">
        <f t="shared" ref="F92:F97" si="1">E92*100/$E$22*0.01</f>
        <v>0</v>
      </c>
      <c r="G92" s="6">
        <v>0.03</v>
      </c>
      <c r="H92" s="7">
        <v>500</v>
      </c>
    </row>
    <row r="93" spans="2:8" ht="21.45" customHeight="1" outlineLevel="1" x14ac:dyDescent="0.3">
      <c r="B93" s="130"/>
      <c r="C93" s="144"/>
      <c r="D93" s="1" t="s">
        <v>22</v>
      </c>
      <c r="E93" s="5">
        <v>678.36</v>
      </c>
      <c r="F93" s="74">
        <f t="shared" si="1"/>
        <v>2.3096125587140581E-2</v>
      </c>
      <c r="G93" s="6">
        <v>0.02</v>
      </c>
      <c r="H93" s="7">
        <v>350</v>
      </c>
    </row>
    <row r="94" spans="2:8" ht="14.55" customHeight="1" outlineLevel="1" x14ac:dyDescent="0.3">
      <c r="B94" s="130"/>
      <c r="C94" s="144"/>
      <c r="D94" s="1" t="s">
        <v>23</v>
      </c>
      <c r="E94" s="5">
        <v>2912.5</v>
      </c>
      <c r="F94" s="74">
        <f t="shared" si="1"/>
        <v>9.9161898951216104E-2</v>
      </c>
      <c r="G94" s="6">
        <v>0.02</v>
      </c>
      <c r="H94" s="7">
        <v>300</v>
      </c>
    </row>
    <row r="95" spans="2:8" ht="14.55" customHeight="1" outlineLevel="1" x14ac:dyDescent="0.3">
      <c r="B95" s="130"/>
      <c r="C95" s="144"/>
      <c r="D95" s="1" t="s">
        <v>24</v>
      </c>
      <c r="E95" s="5">
        <v>610.16999999999996</v>
      </c>
      <c r="F95" s="74">
        <f>E95*100/$E$22*0.01</f>
        <v>2.0774460389034681E-2</v>
      </c>
      <c r="G95" s="6">
        <v>0.01</v>
      </c>
      <c r="H95" s="7">
        <v>150</v>
      </c>
    </row>
    <row r="96" spans="2:8" ht="14.55" customHeight="1" outlineLevel="1" x14ac:dyDescent="0.3">
      <c r="B96" s="130"/>
      <c r="C96" s="144"/>
      <c r="D96" s="1" t="s">
        <v>128</v>
      </c>
      <c r="E96" s="5">
        <v>379</v>
      </c>
      <c r="F96" s="74">
        <f t="shared" si="1"/>
        <v>1.2903814490132497E-2</v>
      </c>
      <c r="G96" s="6">
        <v>0.01</v>
      </c>
      <c r="H96" s="7">
        <v>150</v>
      </c>
    </row>
    <row r="97" spans="2:10" ht="14.55" customHeight="1" outlineLevel="1" x14ac:dyDescent="0.3">
      <c r="B97" s="130"/>
      <c r="C97" s="144"/>
      <c r="D97" s="1" t="s">
        <v>19</v>
      </c>
      <c r="E97" s="5">
        <v>430.54</v>
      </c>
      <c r="F97" s="74">
        <f t="shared" si="1"/>
        <v>1.465859707277479E-2</v>
      </c>
      <c r="G97" s="6">
        <v>0.03</v>
      </c>
      <c r="H97" s="7">
        <v>500</v>
      </c>
    </row>
    <row r="98" spans="2:10" ht="14.55" customHeight="1" outlineLevel="1" x14ac:dyDescent="0.3">
      <c r="B98" s="130"/>
      <c r="C98" s="144"/>
      <c r="D98" s="39" t="s">
        <v>16</v>
      </c>
      <c r="E98" s="23">
        <f>SUM(E91:E97)</f>
        <v>7228.45</v>
      </c>
      <c r="F98" s="82">
        <f>E98*100/$E$22*0.01</f>
        <v>0.24610706557044396</v>
      </c>
      <c r="G98" s="6">
        <v>0.2</v>
      </c>
      <c r="H98" s="7">
        <v>3000</v>
      </c>
    </row>
    <row r="99" spans="2:10" ht="14.55" customHeight="1" outlineLevel="1" x14ac:dyDescent="0.3">
      <c r="B99" s="157"/>
      <c r="C99" s="94"/>
      <c r="D99" s="94"/>
      <c r="E99" s="95" t="s">
        <v>78</v>
      </c>
      <c r="F99" s="96">
        <f>SUM(F98,F90,F32)</f>
        <v>0.77441510651945666</v>
      </c>
      <c r="G99" s="97"/>
      <c r="H99" s="98"/>
      <c r="J99" s="31" t="s">
        <v>72</v>
      </c>
    </row>
    <row r="100" spans="2:10" ht="14.55" customHeight="1" x14ac:dyDescent="0.3">
      <c r="B100" s="84" t="s">
        <v>79</v>
      </c>
      <c r="C100" s="85"/>
      <c r="D100" s="85"/>
      <c r="E100" s="40"/>
      <c r="F100" s="77"/>
      <c r="G100" s="86"/>
      <c r="H100" s="44"/>
      <c r="J100" s="32">
        <f>E107-E117</f>
        <v>11530.21</v>
      </c>
    </row>
    <row r="101" spans="2:10" ht="14.55" customHeight="1" outlineLevel="1" x14ac:dyDescent="0.3">
      <c r="B101" s="130" t="s">
        <v>79</v>
      </c>
      <c r="C101" s="132" t="s">
        <v>6</v>
      </c>
      <c r="D101" s="1" t="s">
        <v>0</v>
      </c>
      <c r="E101" s="5">
        <v>7000</v>
      </c>
      <c r="F101" s="74">
        <f>E101*100/$E$107*0.01</f>
        <v>0.33419763206654929</v>
      </c>
      <c r="H101" s="7"/>
      <c r="J101" s="32"/>
    </row>
    <row r="102" spans="2:10" outlineLevel="1" x14ac:dyDescent="0.3">
      <c r="B102" s="130"/>
      <c r="C102" s="132"/>
      <c r="D102" s="1" t="s">
        <v>8</v>
      </c>
      <c r="E102" s="5">
        <v>1200</v>
      </c>
      <c r="F102" s="74">
        <f t="shared" ref="F102:F104" si="2">E102*100/$E$107*0.01</f>
        <v>5.7291022639979872E-2</v>
      </c>
      <c r="H102" s="7"/>
      <c r="J102" s="33" t="s">
        <v>74</v>
      </c>
    </row>
    <row r="103" spans="2:10" outlineLevel="1" x14ac:dyDescent="0.3">
      <c r="B103" s="130"/>
      <c r="C103" s="132"/>
      <c r="D103" s="1" t="s">
        <v>9</v>
      </c>
      <c r="E103" s="5">
        <v>120</v>
      </c>
      <c r="F103" s="74">
        <f t="shared" si="2"/>
        <v>5.7291022639979873E-3</v>
      </c>
      <c r="H103" s="7"/>
      <c r="J103" s="32">
        <f>E107-(E117+H168)</f>
        <v>10390.209999999999</v>
      </c>
    </row>
    <row r="104" spans="2:10" outlineLevel="1" x14ac:dyDescent="0.3">
      <c r="B104" s="130"/>
      <c r="C104" s="132"/>
      <c r="D104" s="1" t="s">
        <v>10</v>
      </c>
      <c r="E104" s="5">
        <v>500</v>
      </c>
      <c r="F104" s="74">
        <f t="shared" si="2"/>
        <v>2.3871259433324951E-2</v>
      </c>
      <c r="H104" s="7"/>
      <c r="J104" s="34"/>
    </row>
    <row r="105" spans="2:10" outlineLevel="1" x14ac:dyDescent="0.3">
      <c r="B105" s="130"/>
      <c r="C105" s="132"/>
      <c r="D105" s="1" t="s">
        <v>1</v>
      </c>
      <c r="E105" s="5">
        <v>5500</v>
      </c>
      <c r="F105" s="74">
        <f>E105*100/$E$107*0.01</f>
        <v>0.26258385376657445</v>
      </c>
      <c r="H105" s="7"/>
      <c r="J105" s="35" t="s">
        <v>75</v>
      </c>
    </row>
    <row r="106" spans="2:10" outlineLevel="1" x14ac:dyDescent="0.3">
      <c r="B106" s="130"/>
      <c r="C106" s="132"/>
      <c r="D106" s="1" t="s">
        <v>270</v>
      </c>
      <c r="E106" s="5">
        <v>6625.69</v>
      </c>
      <c r="F106" s="74">
        <f>E106*100/$E$107*0.01</f>
        <v>0.31632712982957356</v>
      </c>
      <c r="H106" s="7"/>
      <c r="J106" s="32">
        <f>E107-E117-E168-E176</f>
        <v>5742.2399999999989</v>
      </c>
    </row>
    <row r="107" spans="2:10" ht="14.4" outlineLevel="1" thickBot="1" x14ac:dyDescent="0.35">
      <c r="B107" s="130"/>
      <c r="C107" s="133"/>
      <c r="D107" s="8"/>
      <c r="E107" s="9">
        <f>SUM(E101:E106)</f>
        <v>20945.689999999999</v>
      </c>
      <c r="F107" s="78"/>
      <c r="G107" s="10"/>
      <c r="H107" s="68"/>
      <c r="J107" s="36"/>
    </row>
    <row r="108" spans="2:10" ht="15" outlineLevel="1" thickTop="1" thickBot="1" x14ac:dyDescent="0.35">
      <c r="B108" s="130"/>
      <c r="C108" s="52" t="s">
        <v>77</v>
      </c>
      <c r="D108" s="49" t="s">
        <v>66</v>
      </c>
      <c r="E108" s="50"/>
      <c r="F108" s="79">
        <f>E108*100/$E$107*0.01</f>
        <v>0</v>
      </c>
      <c r="G108" s="51"/>
      <c r="H108" s="69"/>
      <c r="J108" s="37" t="s">
        <v>76</v>
      </c>
    </row>
    <row r="109" spans="2:10" ht="14.4" outlineLevel="1" thickTop="1" x14ac:dyDescent="0.3">
      <c r="B109" s="130"/>
      <c r="C109" s="134" t="s">
        <v>7</v>
      </c>
      <c r="D109" s="1" t="s">
        <v>2</v>
      </c>
      <c r="E109" s="5">
        <v>4605.3500000000004</v>
      </c>
      <c r="F109" s="74">
        <f>E109*100/$E$107*0.01</f>
        <v>0.21987100926252612</v>
      </c>
      <c r="G109" s="136">
        <v>0.6</v>
      </c>
      <c r="H109" s="138">
        <f>E107*60%</f>
        <v>12567.413999999999</v>
      </c>
      <c r="J109" s="38">
        <f>SUM(E117,E168,E176)</f>
        <v>15203.449999999999</v>
      </c>
    </row>
    <row r="110" spans="2:10" outlineLevel="1" x14ac:dyDescent="0.3">
      <c r="B110" s="130"/>
      <c r="C110" s="134"/>
      <c r="D110" s="1" t="s">
        <v>3</v>
      </c>
      <c r="E110" s="5">
        <v>1450</v>
      </c>
      <c r="F110" s="74">
        <f>E110*100/$E$107*0.01</f>
        <v>6.9226652356642354E-2</v>
      </c>
      <c r="G110" s="136"/>
      <c r="H110" s="138"/>
    </row>
    <row r="111" spans="2:10" outlineLevel="1" x14ac:dyDescent="0.3">
      <c r="B111" s="130"/>
      <c r="C111" s="134"/>
      <c r="D111" s="1" t="s">
        <v>4</v>
      </c>
      <c r="E111" s="5">
        <v>1333.22</v>
      </c>
      <c r="F111" s="74">
        <f>E111*100/$E$107*0.01</f>
        <v>6.3651281003394969E-2</v>
      </c>
      <c r="G111" s="136"/>
      <c r="H111" s="138"/>
    </row>
    <row r="112" spans="2:10" outlineLevel="1" x14ac:dyDescent="0.3">
      <c r="B112" s="130"/>
      <c r="C112" s="134"/>
      <c r="D112" s="1" t="s">
        <v>19</v>
      </c>
      <c r="E112" s="5">
        <v>1000</v>
      </c>
      <c r="F112" s="74">
        <f t="shared" ref="F112:F115" si="3">E112*100/$E$107*0.01</f>
        <v>4.7742518866649902E-2</v>
      </c>
      <c r="G112" s="136"/>
      <c r="H112" s="138"/>
    </row>
    <row r="113" spans="2:10" outlineLevel="1" x14ac:dyDescent="0.3">
      <c r="B113" s="130"/>
      <c r="C113" s="134"/>
      <c r="D113" s="1" t="s">
        <v>11</v>
      </c>
      <c r="E113" s="5">
        <v>110</v>
      </c>
      <c r="F113" s="74">
        <f t="shared" si="3"/>
        <v>5.251677075331489E-3</v>
      </c>
      <c r="G113" s="136"/>
      <c r="H113" s="138"/>
    </row>
    <row r="114" spans="2:10" outlineLevel="1" x14ac:dyDescent="0.3">
      <c r="B114" s="130"/>
      <c r="C114" s="134"/>
      <c r="D114" s="1" t="s">
        <v>12</v>
      </c>
      <c r="E114" s="5">
        <v>400</v>
      </c>
      <c r="F114" s="74">
        <f t="shared" si="3"/>
        <v>1.909700754665996E-2</v>
      </c>
      <c r="G114" s="136"/>
      <c r="H114" s="138"/>
    </row>
    <row r="115" spans="2:10" outlineLevel="1" x14ac:dyDescent="0.3">
      <c r="B115" s="130"/>
      <c r="C115" s="134"/>
      <c r="D115" s="1" t="s">
        <v>13</v>
      </c>
      <c r="E115" s="5">
        <v>316.91000000000003</v>
      </c>
      <c r="F115" s="74">
        <f t="shared" si="3"/>
        <v>1.5130081654030021E-2</v>
      </c>
      <c r="G115" s="136"/>
      <c r="H115" s="138"/>
      <c r="J115" s="18"/>
    </row>
    <row r="116" spans="2:10" outlineLevel="1" x14ac:dyDescent="0.3">
      <c r="B116" s="130"/>
      <c r="C116" s="134"/>
      <c r="D116" s="1" t="s">
        <v>5</v>
      </c>
      <c r="E116" s="5">
        <v>200</v>
      </c>
      <c r="F116" s="74">
        <f>E116*100/$E$107*0.01</f>
        <v>9.5485037733299798E-3</v>
      </c>
      <c r="G116" s="136"/>
      <c r="H116" s="138"/>
    </row>
    <row r="117" spans="2:10" ht="14.4" outlineLevel="1" thickBot="1" x14ac:dyDescent="0.35">
      <c r="B117" s="130"/>
      <c r="C117" s="135"/>
      <c r="D117" s="11"/>
      <c r="E117" s="9">
        <f>SUM(E109:E116)</f>
        <v>9415.48</v>
      </c>
      <c r="F117" s="80">
        <f>SUM(F109:F116)</f>
        <v>0.44951873153856475</v>
      </c>
      <c r="G117" s="137"/>
      <c r="H117" s="139"/>
    </row>
    <row r="118" spans="2:10" ht="16.8" customHeight="1" outlineLevel="1" collapsed="1" thickTop="1" x14ac:dyDescent="0.3">
      <c r="B118" s="130"/>
      <c r="C118" s="140" t="s">
        <v>60</v>
      </c>
      <c r="D118" s="13" t="s">
        <v>14</v>
      </c>
      <c r="E118" s="14">
        <f>SUM(E119:E147)</f>
        <v>2623.57</v>
      </c>
      <c r="F118" s="74">
        <f>E118*100/$E$107*0.01</f>
        <v>0.12525584022297667</v>
      </c>
      <c r="G118" s="15">
        <v>0.04</v>
      </c>
      <c r="H118" s="72">
        <v>570</v>
      </c>
    </row>
    <row r="119" spans="2:10" hidden="1" outlineLevel="2" x14ac:dyDescent="0.25">
      <c r="B119" s="130"/>
      <c r="C119" s="141"/>
      <c r="D119" s="24" t="s">
        <v>90</v>
      </c>
      <c r="E119" s="53">
        <v>290.95999999999998</v>
      </c>
      <c r="F119" s="74">
        <f t="shared" ref="F119:F148" si="4">E119*100/$E$107*0.01</f>
        <v>1.3891163289440452E-2</v>
      </c>
      <c r="H119" s="7"/>
    </row>
    <row r="120" spans="2:10" hidden="1" outlineLevel="2" x14ac:dyDescent="0.25">
      <c r="B120" s="130"/>
      <c r="C120" s="141"/>
      <c r="D120" s="24" t="s">
        <v>91</v>
      </c>
      <c r="E120" s="53">
        <v>121.21</v>
      </c>
      <c r="F120" s="74">
        <f t="shared" si="4"/>
        <v>5.7868707118266336E-3</v>
      </c>
      <c r="H120" s="7"/>
    </row>
    <row r="121" spans="2:10" hidden="1" outlineLevel="2" x14ac:dyDescent="0.25">
      <c r="B121" s="130"/>
      <c r="C121" s="141"/>
      <c r="D121" s="24" t="s">
        <v>92</v>
      </c>
      <c r="E121" s="53">
        <v>81.48</v>
      </c>
      <c r="F121" s="74">
        <f t="shared" si="4"/>
        <v>3.8900604372546338E-3</v>
      </c>
      <c r="H121" s="7"/>
    </row>
    <row r="122" spans="2:10" hidden="1" outlineLevel="2" x14ac:dyDescent="0.25">
      <c r="B122" s="130"/>
      <c r="C122" s="141"/>
      <c r="D122" s="24" t="s">
        <v>93</v>
      </c>
      <c r="E122" s="53">
        <v>280.20999999999998</v>
      </c>
      <c r="F122" s="74">
        <f t="shared" si="4"/>
        <v>1.3377931211623966E-2</v>
      </c>
      <c r="H122" s="7"/>
    </row>
    <row r="123" spans="2:10" hidden="1" outlineLevel="2" x14ac:dyDescent="0.25">
      <c r="B123" s="130"/>
      <c r="C123" s="141"/>
      <c r="D123" s="24" t="s">
        <v>94</v>
      </c>
      <c r="E123" s="53">
        <v>62.84</v>
      </c>
      <c r="F123" s="74">
        <f t="shared" si="4"/>
        <v>3.0001398855802799E-3</v>
      </c>
      <c r="H123" s="7"/>
    </row>
    <row r="124" spans="2:10" hidden="1" outlineLevel="2" x14ac:dyDescent="0.25">
      <c r="B124" s="130"/>
      <c r="C124" s="141"/>
      <c r="D124" s="24" t="s">
        <v>95</v>
      </c>
      <c r="E124" s="53">
        <v>36.130000000000003</v>
      </c>
      <c r="F124" s="74">
        <f t="shared" si="4"/>
        <v>1.7249372066520611E-3</v>
      </c>
      <c r="H124" s="7"/>
    </row>
    <row r="125" spans="2:10" hidden="1" outlineLevel="2" x14ac:dyDescent="0.25">
      <c r="B125" s="130"/>
      <c r="C125" s="141"/>
      <c r="D125" s="24" t="s">
        <v>96</v>
      </c>
      <c r="E125" s="53">
        <v>50.29</v>
      </c>
      <c r="F125" s="74">
        <f t="shared" si="4"/>
        <v>2.4009712738038234E-3</v>
      </c>
      <c r="H125" s="7"/>
    </row>
    <row r="126" spans="2:10" hidden="1" outlineLevel="2" x14ac:dyDescent="0.25">
      <c r="B126" s="130"/>
      <c r="C126" s="141"/>
      <c r="D126" s="24" t="s">
        <v>97</v>
      </c>
      <c r="E126" s="53">
        <v>32.07</v>
      </c>
      <c r="F126" s="74">
        <f t="shared" si="4"/>
        <v>1.5311025800534622E-3</v>
      </c>
      <c r="H126" s="7"/>
    </row>
    <row r="127" spans="2:10" hidden="1" outlineLevel="2" x14ac:dyDescent="0.25">
      <c r="B127" s="130"/>
      <c r="C127" s="141"/>
      <c r="D127" s="24" t="s">
        <v>98</v>
      </c>
      <c r="E127" s="53">
        <v>156.65</v>
      </c>
      <c r="F127" s="74">
        <f t="shared" si="4"/>
        <v>7.4788655804607067E-3</v>
      </c>
      <c r="H127" s="7"/>
    </row>
    <row r="128" spans="2:10" hidden="1" outlineLevel="2" x14ac:dyDescent="0.25">
      <c r="B128" s="130"/>
      <c r="C128" s="141"/>
      <c r="D128" s="24" t="s">
        <v>99</v>
      </c>
      <c r="E128" s="53">
        <v>186</v>
      </c>
      <c r="F128" s="74">
        <f t="shared" si="4"/>
        <v>8.880108509196882E-3</v>
      </c>
      <c r="H128" s="7"/>
    </row>
    <row r="129" spans="2:8" hidden="1" outlineLevel="2" x14ac:dyDescent="0.25">
      <c r="B129" s="130"/>
      <c r="C129" s="141"/>
      <c r="D129" s="24" t="s">
        <v>100</v>
      </c>
      <c r="E129" s="53">
        <v>40.08</v>
      </c>
      <c r="F129" s="74">
        <f t="shared" si="4"/>
        <v>1.913520156175328E-3</v>
      </c>
      <c r="H129" s="7"/>
    </row>
    <row r="130" spans="2:8" hidden="1" outlineLevel="2" x14ac:dyDescent="0.25">
      <c r="B130" s="130"/>
      <c r="C130" s="141"/>
      <c r="D130" s="24" t="s">
        <v>101</v>
      </c>
      <c r="E130" s="53">
        <v>32.99</v>
      </c>
      <c r="F130" s="74">
        <f t="shared" si="4"/>
        <v>1.5750256974107802E-3</v>
      </c>
      <c r="H130" s="7"/>
    </row>
    <row r="131" spans="2:8" hidden="1" outlineLevel="2" x14ac:dyDescent="0.25">
      <c r="B131" s="130"/>
      <c r="C131" s="141"/>
      <c r="D131" s="24" t="s">
        <v>102</v>
      </c>
      <c r="E131" s="53">
        <v>98.34</v>
      </c>
      <c r="F131" s="74">
        <f t="shared" si="4"/>
        <v>4.6949993053463507E-3</v>
      </c>
      <c r="H131" s="7"/>
    </row>
    <row r="132" spans="2:8" hidden="1" outlineLevel="2" x14ac:dyDescent="0.25">
      <c r="B132" s="130"/>
      <c r="C132" s="141"/>
      <c r="D132" s="24" t="s">
        <v>103</v>
      </c>
      <c r="E132" s="53">
        <v>52.33</v>
      </c>
      <c r="F132" s="74">
        <f t="shared" si="4"/>
        <v>2.4983660122917892E-3</v>
      </c>
      <c r="H132" s="7"/>
    </row>
    <row r="133" spans="2:8" hidden="1" outlineLevel="2" x14ac:dyDescent="0.25">
      <c r="B133" s="130"/>
      <c r="C133" s="141"/>
      <c r="D133" s="24" t="s">
        <v>104</v>
      </c>
      <c r="E133" s="53">
        <v>121.53</v>
      </c>
      <c r="F133" s="74">
        <f t="shared" si="4"/>
        <v>5.8021483178639626E-3</v>
      </c>
      <c r="H133" s="7"/>
    </row>
    <row r="134" spans="2:8" hidden="1" outlineLevel="2" x14ac:dyDescent="0.25">
      <c r="B134" s="130"/>
      <c r="C134" s="141"/>
      <c r="D134" s="24" t="s">
        <v>105</v>
      </c>
      <c r="E134" s="53">
        <v>29.66</v>
      </c>
      <c r="F134" s="74">
        <f t="shared" si="4"/>
        <v>1.4160431095848359E-3</v>
      </c>
      <c r="H134" s="7"/>
    </row>
    <row r="135" spans="2:8" hidden="1" outlineLevel="2" x14ac:dyDescent="0.25">
      <c r="B135" s="130"/>
      <c r="C135" s="141"/>
      <c r="D135" s="24" t="s">
        <v>106</v>
      </c>
      <c r="E135" s="53">
        <v>175.93</v>
      </c>
      <c r="F135" s="74">
        <f t="shared" si="4"/>
        <v>8.3993413442097174E-3</v>
      </c>
      <c r="H135" s="7"/>
    </row>
    <row r="136" spans="2:8" hidden="1" outlineLevel="2" x14ac:dyDescent="0.25">
      <c r="B136" s="130"/>
      <c r="C136" s="141"/>
      <c r="D136" s="24" t="s">
        <v>107</v>
      </c>
      <c r="E136" s="53">
        <v>70.3</v>
      </c>
      <c r="F136" s="74">
        <f t="shared" si="4"/>
        <v>3.3562990763254881E-3</v>
      </c>
      <c r="H136" s="7"/>
    </row>
    <row r="137" spans="2:8" hidden="1" outlineLevel="2" x14ac:dyDescent="0.25">
      <c r="B137" s="130"/>
      <c r="C137" s="141"/>
      <c r="D137" s="54" t="s">
        <v>108</v>
      </c>
      <c r="E137" s="53">
        <v>42.15</v>
      </c>
      <c r="F137" s="74">
        <f t="shared" si="4"/>
        <v>2.0123471702292932E-3</v>
      </c>
      <c r="H137" s="7"/>
    </row>
    <row r="138" spans="2:8" hidden="1" outlineLevel="2" x14ac:dyDescent="0.25">
      <c r="B138" s="130"/>
      <c r="C138" s="141"/>
      <c r="D138" s="54" t="s">
        <v>109</v>
      </c>
      <c r="E138" s="53">
        <v>281.92</v>
      </c>
      <c r="F138" s="74">
        <f t="shared" si="4"/>
        <v>1.345957091888594E-2</v>
      </c>
      <c r="H138" s="7"/>
    </row>
    <row r="139" spans="2:8" hidden="1" outlineLevel="2" x14ac:dyDescent="0.3">
      <c r="B139" s="130"/>
      <c r="C139" s="141"/>
      <c r="D139" s="54" t="s">
        <v>110</v>
      </c>
      <c r="E139" s="55">
        <v>55.56</v>
      </c>
      <c r="F139" s="74">
        <f t="shared" si="4"/>
        <v>2.6525743482310681E-3</v>
      </c>
      <c r="H139" s="7"/>
    </row>
    <row r="140" spans="2:8" hidden="1" outlineLevel="2" x14ac:dyDescent="0.3">
      <c r="B140" s="130"/>
      <c r="C140" s="141"/>
      <c r="D140" s="54" t="s">
        <v>111</v>
      </c>
      <c r="E140" s="55">
        <v>41.63</v>
      </c>
      <c r="F140" s="74">
        <f t="shared" si="4"/>
        <v>1.9875210604186353E-3</v>
      </c>
      <c r="H140" s="7"/>
    </row>
    <row r="141" spans="2:8" hidden="1" outlineLevel="2" x14ac:dyDescent="0.3">
      <c r="B141" s="130"/>
      <c r="C141" s="141"/>
      <c r="D141" s="54" t="s">
        <v>112</v>
      </c>
      <c r="E141" s="55">
        <v>89.06</v>
      </c>
      <c r="F141" s="74">
        <f t="shared" si="4"/>
        <v>4.25194873026384E-3</v>
      </c>
      <c r="H141" s="7"/>
    </row>
    <row r="142" spans="2:8" hidden="1" outlineLevel="2" x14ac:dyDescent="0.3">
      <c r="B142" s="130"/>
      <c r="C142" s="141"/>
      <c r="D142" s="54" t="s">
        <v>113</v>
      </c>
      <c r="E142" s="55">
        <v>92.78</v>
      </c>
      <c r="F142" s="74">
        <f t="shared" si="4"/>
        <v>4.4295509004477771E-3</v>
      </c>
      <c r="H142" s="7"/>
    </row>
    <row r="143" spans="2:8" hidden="1" outlineLevel="2" x14ac:dyDescent="0.3">
      <c r="B143" s="130"/>
      <c r="C143" s="141"/>
      <c r="D143" s="54" t="s">
        <v>114</v>
      </c>
      <c r="E143" s="55">
        <v>23.76</v>
      </c>
      <c r="F143" s="74">
        <f t="shared" si="4"/>
        <v>1.1343622482716015E-3</v>
      </c>
      <c r="H143" s="7"/>
    </row>
    <row r="144" spans="2:8" hidden="1" outlineLevel="2" x14ac:dyDescent="0.3">
      <c r="B144" s="130"/>
      <c r="C144" s="141"/>
      <c r="D144" s="54" t="s">
        <v>115</v>
      </c>
      <c r="E144" s="55">
        <v>14.3</v>
      </c>
      <c r="F144" s="74">
        <f t="shared" si="4"/>
        <v>6.8271801979309351E-4</v>
      </c>
      <c r="H144" s="7"/>
    </row>
    <row r="145" spans="2:8" hidden="1" outlineLevel="2" x14ac:dyDescent="0.3">
      <c r="B145" s="130"/>
      <c r="C145" s="141"/>
      <c r="D145" s="54" t="s">
        <v>116</v>
      </c>
      <c r="E145" s="55">
        <v>36.659999999999997</v>
      </c>
      <c r="F145" s="74">
        <f t="shared" si="4"/>
        <v>1.750240741651385E-3</v>
      </c>
      <c r="H145" s="7"/>
    </row>
    <row r="146" spans="2:8" hidden="1" outlineLevel="2" x14ac:dyDescent="0.3">
      <c r="B146" s="130"/>
      <c r="C146" s="141"/>
      <c r="D146" s="54" t="s">
        <v>116</v>
      </c>
      <c r="E146" s="55">
        <v>26.75</v>
      </c>
      <c r="F146" s="74">
        <f t="shared" si="4"/>
        <v>1.2771123796828849E-3</v>
      </c>
      <c r="H146" s="7"/>
    </row>
    <row r="147" spans="2:8" hidden="1" outlineLevel="2" x14ac:dyDescent="0.3">
      <c r="B147" s="130"/>
      <c r="C147" s="141"/>
      <c r="D147" s="54"/>
      <c r="E147" s="55"/>
      <c r="F147" s="74">
        <f t="shared" si="4"/>
        <v>0</v>
      </c>
      <c r="H147" s="7"/>
    </row>
    <row r="148" spans="2:8" ht="16.8" customHeight="1" outlineLevel="1" collapsed="1" x14ac:dyDescent="0.3">
      <c r="B148" s="130"/>
      <c r="C148" s="141"/>
      <c r="D148" s="1" t="s">
        <v>15</v>
      </c>
      <c r="E148" s="16">
        <f>SUM(E149:E167)</f>
        <v>1253.1000000000001</v>
      </c>
      <c r="F148" s="74">
        <f t="shared" si="4"/>
        <v>5.9826150391798998E-2</v>
      </c>
      <c r="G148" s="6">
        <v>0.04</v>
      </c>
      <c r="H148" s="7">
        <v>570</v>
      </c>
    </row>
    <row r="149" spans="2:8" hidden="1" outlineLevel="2" x14ac:dyDescent="0.25">
      <c r="B149" s="130"/>
      <c r="C149" s="141"/>
      <c r="D149" s="56" t="s">
        <v>32</v>
      </c>
      <c r="E149" s="57">
        <v>89.51</v>
      </c>
      <c r="F149" s="74"/>
      <c r="G149" s="6"/>
      <c r="H149" s="7"/>
    </row>
    <row r="150" spans="2:8" hidden="1" outlineLevel="2" x14ac:dyDescent="0.25">
      <c r="B150" s="130"/>
      <c r="C150" s="141"/>
      <c r="D150" s="56" t="s">
        <v>121</v>
      </c>
      <c r="E150" s="57">
        <v>49.47</v>
      </c>
      <c r="F150" s="74"/>
      <c r="G150" s="6"/>
      <c r="H150" s="7"/>
    </row>
    <row r="151" spans="2:8" hidden="1" outlineLevel="2" x14ac:dyDescent="0.25">
      <c r="B151" s="130"/>
      <c r="C151" s="141"/>
      <c r="D151" s="58" t="s">
        <v>90</v>
      </c>
      <c r="E151" s="25">
        <v>290</v>
      </c>
      <c r="F151" s="74"/>
      <c r="G151" s="6"/>
      <c r="H151" s="7"/>
    </row>
    <row r="152" spans="2:8" hidden="1" outlineLevel="2" x14ac:dyDescent="0.25">
      <c r="B152" s="130"/>
      <c r="C152" s="141"/>
      <c r="D152" s="56" t="s">
        <v>122</v>
      </c>
      <c r="E152" s="57">
        <v>60.69</v>
      </c>
      <c r="F152" s="74"/>
      <c r="G152" s="6"/>
      <c r="H152" s="7"/>
    </row>
    <row r="153" spans="2:8" hidden="1" outlineLevel="2" x14ac:dyDescent="0.25">
      <c r="B153" s="130"/>
      <c r="C153" s="141"/>
      <c r="D153" s="56" t="s">
        <v>123</v>
      </c>
      <c r="E153" s="57">
        <v>54.25</v>
      </c>
      <c r="F153" s="74"/>
      <c r="G153" s="6"/>
      <c r="H153" s="7"/>
    </row>
    <row r="154" spans="2:8" hidden="1" outlineLevel="2" x14ac:dyDescent="0.25">
      <c r="B154" s="130"/>
      <c r="C154" s="141"/>
      <c r="D154" s="59" t="s">
        <v>124</v>
      </c>
      <c r="E154" s="60">
        <v>180</v>
      </c>
      <c r="F154" s="74"/>
      <c r="G154" s="6"/>
      <c r="H154" s="7"/>
    </row>
    <row r="155" spans="2:8" hidden="1" outlineLevel="2" x14ac:dyDescent="0.25">
      <c r="B155" s="130"/>
      <c r="C155" s="141"/>
      <c r="D155" s="58" t="s">
        <v>106</v>
      </c>
      <c r="E155" s="25">
        <v>175.93</v>
      </c>
      <c r="F155" s="74"/>
      <c r="G155" s="6"/>
      <c r="H155" s="7"/>
    </row>
    <row r="156" spans="2:8" hidden="1" outlineLevel="2" x14ac:dyDescent="0.25">
      <c r="B156" s="130"/>
      <c r="C156" s="141"/>
      <c r="D156" s="58" t="s">
        <v>91</v>
      </c>
      <c r="E156" s="25">
        <v>115.28</v>
      </c>
      <c r="F156" s="74"/>
      <c r="G156" s="6"/>
      <c r="H156" s="7"/>
    </row>
    <row r="157" spans="2:8" hidden="1" outlineLevel="2" x14ac:dyDescent="0.25">
      <c r="B157" s="130"/>
      <c r="C157" s="141"/>
      <c r="D157" s="61" t="s">
        <v>125</v>
      </c>
      <c r="E157" s="57">
        <v>110</v>
      </c>
      <c r="F157" s="74"/>
      <c r="G157" s="6"/>
      <c r="H157" s="7"/>
    </row>
    <row r="158" spans="2:8" hidden="1" outlineLevel="2" x14ac:dyDescent="0.25">
      <c r="B158" s="130"/>
      <c r="C158" s="141"/>
      <c r="D158" s="61" t="s">
        <v>126</v>
      </c>
      <c r="E158" s="57">
        <v>52.78</v>
      </c>
      <c r="F158" s="74"/>
      <c r="G158" s="6"/>
      <c r="H158" s="7"/>
    </row>
    <row r="159" spans="2:8" hidden="1" outlineLevel="2" x14ac:dyDescent="0.25">
      <c r="B159" s="130"/>
      <c r="C159" s="141"/>
      <c r="D159" s="61" t="s">
        <v>127</v>
      </c>
      <c r="E159" s="57">
        <v>75.19</v>
      </c>
      <c r="F159" s="74"/>
      <c r="G159" s="6"/>
      <c r="H159" s="7"/>
    </row>
    <row r="160" spans="2:8" hidden="1" outlineLevel="2" x14ac:dyDescent="0.3">
      <c r="B160" s="130"/>
      <c r="C160" s="141"/>
      <c r="F160" s="74"/>
      <c r="G160" s="6"/>
      <c r="H160" s="7"/>
    </row>
    <row r="161" spans="2:8" hidden="1" outlineLevel="2" x14ac:dyDescent="0.3">
      <c r="B161" s="130"/>
      <c r="C161" s="141"/>
      <c r="F161" s="74"/>
      <c r="G161" s="6"/>
      <c r="H161" s="7"/>
    </row>
    <row r="162" spans="2:8" hidden="1" outlineLevel="2" x14ac:dyDescent="0.3">
      <c r="B162" s="130"/>
      <c r="C162" s="141"/>
      <c r="F162" s="74"/>
      <c r="G162" s="6"/>
      <c r="H162" s="7"/>
    </row>
    <row r="163" spans="2:8" hidden="1" outlineLevel="2" x14ac:dyDescent="0.3">
      <c r="B163" s="130"/>
      <c r="C163" s="141"/>
      <c r="F163" s="74"/>
      <c r="G163" s="6"/>
      <c r="H163" s="7"/>
    </row>
    <row r="164" spans="2:8" hidden="1" outlineLevel="2" x14ac:dyDescent="0.3">
      <c r="B164" s="130"/>
      <c r="C164" s="141"/>
      <c r="F164" s="74"/>
      <c r="G164" s="6"/>
      <c r="H164" s="7"/>
    </row>
    <row r="165" spans="2:8" hidden="1" outlineLevel="2" x14ac:dyDescent="0.3">
      <c r="B165" s="130"/>
      <c r="C165" s="141"/>
      <c r="F165" s="74"/>
      <c r="G165" s="6"/>
      <c r="H165" s="7"/>
    </row>
    <row r="166" spans="2:8" hidden="1" outlineLevel="2" x14ac:dyDescent="0.25">
      <c r="B166" s="130"/>
      <c r="C166" s="141"/>
      <c r="D166" s="54"/>
      <c r="E166" s="25"/>
      <c r="F166" s="74"/>
      <c r="G166" s="6"/>
      <c r="H166" s="7"/>
    </row>
    <row r="167" spans="2:8" hidden="1" outlineLevel="2" x14ac:dyDescent="0.3">
      <c r="B167" s="130"/>
      <c r="C167" s="141"/>
      <c r="D167" s="54"/>
      <c r="E167" s="64"/>
      <c r="F167" s="74"/>
      <c r="G167" s="6"/>
      <c r="H167" s="7"/>
    </row>
    <row r="168" spans="2:8" ht="14.4" outlineLevel="1" thickBot="1" x14ac:dyDescent="0.35">
      <c r="B168" s="130"/>
      <c r="C168" s="142"/>
      <c r="D168" s="11"/>
      <c r="E168" s="17">
        <f>E148+E118</f>
        <v>3876.67</v>
      </c>
      <c r="F168" s="80">
        <f>E168*100/$E$107*0.01</f>
        <v>0.18508199061477565</v>
      </c>
      <c r="G168" s="12">
        <f>G118+G148</f>
        <v>0.08</v>
      </c>
      <c r="H168" s="71">
        <f>H148+H118</f>
        <v>1140</v>
      </c>
    </row>
    <row r="169" spans="2:8" ht="14.4" customHeight="1" outlineLevel="1" thickTop="1" x14ac:dyDescent="0.3">
      <c r="B169" s="130"/>
      <c r="C169" s="143" t="s">
        <v>61</v>
      </c>
      <c r="D169" s="13" t="s">
        <v>20</v>
      </c>
      <c r="E169" s="14">
        <v>673.68</v>
      </c>
      <c r="F169" s="74">
        <f>E169*100/$E$107*0.01</f>
        <v>3.2163180110084705E-2</v>
      </c>
      <c r="G169" s="15">
        <v>0.05</v>
      </c>
      <c r="H169" s="72">
        <v>1200</v>
      </c>
    </row>
    <row r="170" spans="2:8" outlineLevel="1" x14ac:dyDescent="0.3">
      <c r="B170" s="130"/>
      <c r="C170" s="144"/>
      <c r="D170" s="1" t="s">
        <v>21</v>
      </c>
      <c r="E170" s="5">
        <v>0</v>
      </c>
      <c r="F170" s="74">
        <f t="shared" ref="F170:F175" si="5">E170*100/$E$107*0.01</f>
        <v>0</v>
      </c>
      <c r="G170" s="3">
        <v>0.02</v>
      </c>
      <c r="H170" s="7">
        <v>500</v>
      </c>
    </row>
    <row r="171" spans="2:8" ht="22.2" customHeight="1" outlineLevel="1" x14ac:dyDescent="0.3">
      <c r="B171" s="130"/>
      <c r="C171" s="144"/>
      <c r="D171" s="1" t="s">
        <v>22</v>
      </c>
      <c r="E171" s="5">
        <v>344.87</v>
      </c>
      <c r="F171" s="74">
        <f>E171*100/$E$107*0.01</f>
        <v>1.6464962481541549E-2</v>
      </c>
      <c r="G171" s="3">
        <v>0.02</v>
      </c>
      <c r="H171" s="7">
        <v>350</v>
      </c>
    </row>
    <row r="172" spans="2:8" outlineLevel="1" x14ac:dyDescent="0.3">
      <c r="B172" s="130"/>
      <c r="C172" s="144"/>
      <c r="D172" s="1" t="s">
        <v>23</v>
      </c>
      <c r="E172" s="5">
        <v>703.75</v>
      </c>
      <c r="F172" s="74">
        <f t="shared" si="5"/>
        <v>3.3598797652404866E-2</v>
      </c>
      <c r="G172" s="3">
        <v>0.01</v>
      </c>
      <c r="H172" s="7">
        <v>300</v>
      </c>
    </row>
    <row r="173" spans="2:8" outlineLevel="1" x14ac:dyDescent="0.3">
      <c r="B173" s="130"/>
      <c r="C173" s="144"/>
      <c r="D173" s="1" t="s">
        <v>24</v>
      </c>
      <c r="E173" s="5">
        <v>95</v>
      </c>
      <c r="F173" s="74">
        <f>E173*100/$E$107*0.01</f>
        <v>4.5355392923317403E-3</v>
      </c>
      <c r="G173" s="3">
        <v>0.01</v>
      </c>
      <c r="H173" s="7">
        <v>150</v>
      </c>
    </row>
    <row r="174" spans="2:8" outlineLevel="1" x14ac:dyDescent="0.3">
      <c r="B174" s="130"/>
      <c r="C174" s="144"/>
      <c r="D174" s="1" t="s">
        <v>128</v>
      </c>
      <c r="E174" s="5">
        <v>0</v>
      </c>
      <c r="F174" s="74">
        <f t="shared" si="5"/>
        <v>0</v>
      </c>
      <c r="G174" s="3">
        <v>0.01</v>
      </c>
      <c r="H174" s="7">
        <v>150</v>
      </c>
    </row>
    <row r="175" spans="2:8" outlineLevel="1" x14ac:dyDescent="0.3">
      <c r="B175" s="130"/>
      <c r="C175" s="144"/>
      <c r="D175" s="1" t="s">
        <v>19</v>
      </c>
      <c r="E175" s="5">
        <v>94</v>
      </c>
      <c r="F175" s="74">
        <f t="shared" si="5"/>
        <v>4.4877967734650902E-3</v>
      </c>
      <c r="G175" s="3">
        <v>0.02</v>
      </c>
      <c r="H175" s="7">
        <v>500</v>
      </c>
    </row>
    <row r="176" spans="2:8" ht="14.4" outlineLevel="1" thickBot="1" x14ac:dyDescent="0.35">
      <c r="B176" s="130"/>
      <c r="C176" s="144"/>
      <c r="D176" s="11" t="s">
        <v>16</v>
      </c>
      <c r="E176" s="9">
        <f>SUM(E169:E175)</f>
        <v>1911.3</v>
      </c>
      <c r="F176" s="80">
        <f>E176*100/$E$107*0.01</f>
        <v>9.1250276309827946E-2</v>
      </c>
      <c r="G176" s="10">
        <v>0.2</v>
      </c>
      <c r="H176" s="68"/>
    </row>
    <row r="177" spans="2:10" ht="15" outlineLevel="1" thickTop="1" thickBot="1" x14ac:dyDescent="0.35">
      <c r="B177" s="131"/>
      <c r="C177" s="42"/>
      <c r="D177" s="42"/>
      <c r="E177" s="43" t="s">
        <v>78</v>
      </c>
      <c r="F177" s="83">
        <f>SUM(F176,F168,F117)</f>
        <v>0.72585099846316836</v>
      </c>
      <c r="G177" s="66"/>
      <c r="H177" s="73"/>
      <c r="J177" s="31" t="s">
        <v>72</v>
      </c>
    </row>
    <row r="178" spans="2:10" collapsed="1" x14ac:dyDescent="0.3">
      <c r="B178" s="84" t="s">
        <v>129</v>
      </c>
      <c r="C178" s="85"/>
      <c r="D178" s="85"/>
      <c r="E178" s="40"/>
      <c r="F178" s="77"/>
      <c r="G178" s="86"/>
      <c r="H178" s="44"/>
      <c r="J178" s="32">
        <f>E185-E195</f>
        <v>4904.5200000000004</v>
      </c>
    </row>
    <row r="179" spans="2:10" hidden="1" outlineLevel="1" x14ac:dyDescent="0.3">
      <c r="B179" s="130" t="s">
        <v>129</v>
      </c>
      <c r="C179" s="132" t="s">
        <v>6</v>
      </c>
      <c r="D179" s="1" t="s">
        <v>0</v>
      </c>
      <c r="E179" s="5">
        <v>7000</v>
      </c>
      <c r="F179" s="74">
        <f>E179*100/$E$185*0.01</f>
        <v>0.48882681564245806</v>
      </c>
      <c r="H179" s="7"/>
      <c r="J179" s="32"/>
    </row>
    <row r="180" spans="2:10" hidden="1" outlineLevel="1" x14ac:dyDescent="0.3">
      <c r="B180" s="130"/>
      <c r="C180" s="132"/>
      <c r="D180" s="1" t="s">
        <v>8</v>
      </c>
      <c r="E180" s="5">
        <v>1200</v>
      </c>
      <c r="F180" s="74">
        <f t="shared" ref="F180:F184" si="6">E180*100/$E$185*0.01</f>
        <v>8.3798882681564241E-2</v>
      </c>
      <c r="H180" s="7"/>
      <c r="J180" s="33" t="s">
        <v>74</v>
      </c>
    </row>
    <row r="181" spans="2:10" hidden="1" outlineLevel="1" x14ac:dyDescent="0.3">
      <c r="B181" s="130"/>
      <c r="C181" s="132"/>
      <c r="D181" s="1" t="s">
        <v>9</v>
      </c>
      <c r="E181" s="5">
        <v>120</v>
      </c>
      <c r="F181" s="74">
        <f t="shared" si="6"/>
        <v>8.3798882681564244E-3</v>
      </c>
      <c r="H181" s="7"/>
      <c r="J181" s="32">
        <f>E185-(E195+H241)</f>
        <v>3764.5200000000004</v>
      </c>
    </row>
    <row r="182" spans="2:10" hidden="1" outlineLevel="1" x14ac:dyDescent="0.3">
      <c r="B182" s="130"/>
      <c r="C182" s="132"/>
      <c r="D182" s="1" t="s">
        <v>10</v>
      </c>
      <c r="E182" s="5">
        <v>500</v>
      </c>
      <c r="F182" s="74">
        <f t="shared" si="6"/>
        <v>3.4916201117318434E-2</v>
      </c>
      <c r="H182" s="7"/>
      <c r="J182" s="34"/>
    </row>
    <row r="183" spans="2:10" hidden="1" outlineLevel="1" x14ac:dyDescent="0.3">
      <c r="B183" s="130"/>
      <c r="C183" s="132"/>
      <c r="D183" s="1" t="s">
        <v>1</v>
      </c>
      <c r="E183" s="5">
        <v>5500</v>
      </c>
      <c r="F183" s="74">
        <f t="shared" si="6"/>
        <v>0.38407821229050276</v>
      </c>
      <c r="H183" s="7"/>
      <c r="J183" s="35" t="s">
        <v>75</v>
      </c>
    </row>
    <row r="184" spans="2:10" hidden="1" outlineLevel="1" x14ac:dyDescent="0.3">
      <c r="B184" s="130"/>
      <c r="C184" s="132"/>
      <c r="E184" s="5"/>
      <c r="F184" s="74">
        <f t="shared" si="6"/>
        <v>0</v>
      </c>
      <c r="H184" s="7"/>
      <c r="J184" s="32">
        <f>E185-E195-E241-E249</f>
        <v>4.4200000000000728</v>
      </c>
    </row>
    <row r="185" spans="2:10" ht="14.4" hidden="1" outlineLevel="1" thickBot="1" x14ac:dyDescent="0.35">
      <c r="B185" s="130"/>
      <c r="C185" s="133"/>
      <c r="D185" s="8"/>
      <c r="E185" s="9">
        <f>SUM(E179:E184)</f>
        <v>14320</v>
      </c>
      <c r="F185" s="78"/>
      <c r="G185" s="10"/>
      <c r="H185" s="68"/>
      <c r="J185" s="36"/>
    </row>
    <row r="186" spans="2:10" ht="15" hidden="1" outlineLevel="1" thickTop="1" thickBot="1" x14ac:dyDescent="0.35">
      <c r="B186" s="130"/>
      <c r="C186" s="52" t="s">
        <v>77</v>
      </c>
      <c r="D186" s="49" t="s">
        <v>66</v>
      </c>
      <c r="E186" s="50"/>
      <c r="F186" s="79">
        <f>E186*100/$E$185*0.01</f>
        <v>0</v>
      </c>
      <c r="G186" s="51"/>
      <c r="H186" s="69"/>
      <c r="J186" s="37" t="s">
        <v>76</v>
      </c>
    </row>
    <row r="187" spans="2:10" hidden="1" outlineLevel="1" x14ac:dyDescent="0.3">
      <c r="B187" s="130"/>
      <c r="C187" s="134" t="s">
        <v>7</v>
      </c>
      <c r="D187" s="1" t="s">
        <v>2</v>
      </c>
      <c r="E187" s="5">
        <v>4605.3500000000004</v>
      </c>
      <c r="F187" s="74">
        <f>E187*100/$E$185*0.01</f>
        <v>0.32160265363128498</v>
      </c>
      <c r="G187" s="136">
        <v>0.6</v>
      </c>
      <c r="H187" s="138">
        <f>E185*60%</f>
        <v>8592</v>
      </c>
      <c r="J187" s="38">
        <f>SUM(E195,E241,E249)</f>
        <v>14315.58</v>
      </c>
    </row>
    <row r="188" spans="2:10" hidden="1" outlineLevel="1" x14ac:dyDescent="0.3">
      <c r="B188" s="130"/>
      <c r="C188" s="134"/>
      <c r="D188" s="1" t="s">
        <v>3</v>
      </c>
      <c r="E188" s="5">
        <v>1450</v>
      </c>
      <c r="F188" s="74">
        <f t="shared" ref="F188:F194" si="7">E188*100/$E$185*0.01</f>
        <v>0.10125698324022347</v>
      </c>
      <c r="G188" s="136"/>
      <c r="H188" s="138"/>
    </row>
    <row r="189" spans="2:10" hidden="1" outlineLevel="1" x14ac:dyDescent="0.3">
      <c r="B189" s="130"/>
      <c r="C189" s="134"/>
      <c r="D189" s="1" t="s">
        <v>4</v>
      </c>
      <c r="E189" s="5">
        <v>1333.22</v>
      </c>
      <c r="F189" s="74">
        <f t="shared" si="7"/>
        <v>9.3101955307262577E-2</v>
      </c>
      <c r="G189" s="136"/>
      <c r="H189" s="138"/>
    </row>
    <row r="190" spans="2:10" hidden="1" outlineLevel="1" x14ac:dyDescent="0.3">
      <c r="B190" s="130"/>
      <c r="C190" s="134"/>
      <c r="D190" s="1" t="s">
        <v>19</v>
      </c>
      <c r="E190" s="5">
        <v>1000</v>
      </c>
      <c r="F190" s="74">
        <f>E190*100/$E$185*0.01</f>
        <v>6.9832402234636867E-2</v>
      </c>
      <c r="G190" s="136"/>
      <c r="H190" s="138"/>
    </row>
    <row r="191" spans="2:10" hidden="1" outlineLevel="1" x14ac:dyDescent="0.3">
      <c r="B191" s="130"/>
      <c r="C191" s="134"/>
      <c r="D191" s="1" t="s">
        <v>11</v>
      </c>
      <c r="E191" s="5">
        <v>110</v>
      </c>
      <c r="F191" s="74">
        <f t="shared" si="7"/>
        <v>7.6815642458100564E-3</v>
      </c>
      <c r="G191" s="136"/>
      <c r="H191" s="138"/>
    </row>
    <row r="192" spans="2:10" hidden="1" outlineLevel="1" x14ac:dyDescent="0.3">
      <c r="B192" s="130"/>
      <c r="C192" s="134"/>
      <c r="D192" s="1" t="s">
        <v>12</v>
      </c>
      <c r="E192" s="5">
        <v>400</v>
      </c>
      <c r="F192" s="74">
        <f t="shared" si="7"/>
        <v>2.7932960893854747E-2</v>
      </c>
      <c r="G192" s="136"/>
      <c r="H192" s="138"/>
    </row>
    <row r="193" spans="2:10" hidden="1" outlineLevel="1" x14ac:dyDescent="0.3">
      <c r="B193" s="130"/>
      <c r="C193" s="134"/>
      <c r="D193" s="1" t="s">
        <v>13</v>
      </c>
      <c r="E193" s="5">
        <v>316.91000000000003</v>
      </c>
      <c r="F193" s="74">
        <f t="shared" si="7"/>
        <v>2.2130586592178775E-2</v>
      </c>
      <c r="G193" s="136"/>
      <c r="H193" s="138"/>
      <c r="J193" s="18"/>
    </row>
    <row r="194" spans="2:10" hidden="1" outlineLevel="1" x14ac:dyDescent="0.3">
      <c r="B194" s="130"/>
      <c r="C194" s="134"/>
      <c r="D194" s="1" t="s">
        <v>5</v>
      </c>
      <c r="E194" s="5">
        <v>200</v>
      </c>
      <c r="F194" s="74">
        <f t="shared" si="7"/>
        <v>1.3966480446927373E-2</v>
      </c>
      <c r="G194" s="136"/>
      <c r="H194" s="138"/>
    </row>
    <row r="195" spans="2:10" ht="14.4" hidden="1" outlineLevel="1" thickBot="1" x14ac:dyDescent="0.35">
      <c r="B195" s="130"/>
      <c r="C195" s="135"/>
      <c r="D195" s="11"/>
      <c r="E195" s="9">
        <f>SUM(E187:E194)</f>
        <v>9415.48</v>
      </c>
      <c r="F195" s="80">
        <f>SUM(F187:F194)</f>
        <v>0.65750558659217884</v>
      </c>
      <c r="G195" s="137"/>
      <c r="H195" s="139"/>
    </row>
    <row r="196" spans="2:10" ht="19.05" hidden="1" customHeight="1" outlineLevel="1" collapsed="1" thickTop="1" x14ac:dyDescent="0.3">
      <c r="B196" s="130"/>
      <c r="C196" s="140" t="s">
        <v>60</v>
      </c>
      <c r="D196" s="13" t="s">
        <v>14</v>
      </c>
      <c r="E196" s="14">
        <f>SUM(E197:E225)</f>
        <v>2247.0000000000005</v>
      </c>
      <c r="F196" s="74">
        <f>E196*100/$E$185*0.01</f>
        <v>0.15691340782122909</v>
      </c>
      <c r="G196" s="15">
        <v>0.04</v>
      </c>
      <c r="H196" s="72">
        <v>570</v>
      </c>
    </row>
    <row r="197" spans="2:10" hidden="1" outlineLevel="2" x14ac:dyDescent="0.25">
      <c r="B197" s="130"/>
      <c r="C197" s="141"/>
      <c r="D197" s="24" t="s">
        <v>130</v>
      </c>
      <c r="E197" s="123">
        <v>290.95999999999998</v>
      </c>
      <c r="F197" s="74">
        <f t="shared" ref="F197:F226" si="8">E197*100/$E$185*0.01</f>
        <v>2.0318435754189942E-2</v>
      </c>
      <c r="H197" s="7"/>
    </row>
    <row r="198" spans="2:10" hidden="1" outlineLevel="2" x14ac:dyDescent="0.25">
      <c r="B198" s="130"/>
      <c r="C198" s="141"/>
      <c r="D198" s="24" t="s">
        <v>131</v>
      </c>
      <c r="E198" s="123">
        <v>121.21</v>
      </c>
      <c r="F198" s="74">
        <f t="shared" si="8"/>
        <v>8.4643854748603347E-3</v>
      </c>
      <c r="H198" s="7"/>
    </row>
    <row r="199" spans="2:10" hidden="1" outlineLevel="2" x14ac:dyDescent="0.25">
      <c r="B199" s="130"/>
      <c r="C199" s="141"/>
      <c r="D199" s="24" t="s">
        <v>132</v>
      </c>
      <c r="E199" s="123">
        <v>81.48</v>
      </c>
      <c r="F199" s="74">
        <f t="shared" si="8"/>
        <v>5.6899441340782118E-3</v>
      </c>
      <c r="H199" s="7"/>
    </row>
    <row r="200" spans="2:10" hidden="1" outlineLevel="2" x14ac:dyDescent="0.25">
      <c r="B200" s="130"/>
      <c r="C200" s="141"/>
      <c r="D200" s="24" t="s">
        <v>133</v>
      </c>
      <c r="E200" s="123">
        <v>280.20999999999998</v>
      </c>
      <c r="F200" s="74">
        <f t="shared" si="8"/>
        <v>1.9567737430167594E-2</v>
      </c>
      <c r="H200" s="7"/>
    </row>
    <row r="201" spans="2:10" hidden="1" outlineLevel="2" x14ac:dyDescent="0.25">
      <c r="B201" s="130"/>
      <c r="C201" s="141"/>
      <c r="D201" s="99" t="s">
        <v>134</v>
      </c>
      <c r="E201" s="124">
        <v>62.84</v>
      </c>
      <c r="F201" s="74">
        <f t="shared" si="8"/>
        <v>4.3882681564245815E-3</v>
      </c>
      <c r="H201" s="7"/>
    </row>
    <row r="202" spans="2:10" hidden="1" outlineLevel="2" x14ac:dyDescent="0.25">
      <c r="B202" s="130"/>
      <c r="C202" s="141"/>
      <c r="D202" s="24" t="s">
        <v>135</v>
      </c>
      <c r="E202" s="123">
        <v>156.65</v>
      </c>
      <c r="F202" s="74">
        <f t="shared" si="8"/>
        <v>1.0939245810055866E-2</v>
      </c>
      <c r="H202" s="7"/>
    </row>
    <row r="203" spans="2:10" hidden="1" outlineLevel="2" x14ac:dyDescent="0.25">
      <c r="B203" s="130"/>
      <c r="C203" s="141"/>
      <c r="D203" s="24" t="s">
        <v>136</v>
      </c>
      <c r="E203" s="123">
        <v>186</v>
      </c>
      <c r="F203" s="74">
        <f t="shared" si="8"/>
        <v>1.2988826815642458E-2</v>
      </c>
      <c r="H203" s="7"/>
    </row>
    <row r="204" spans="2:10" hidden="1" outlineLevel="2" x14ac:dyDescent="0.25">
      <c r="B204" s="130"/>
      <c r="C204" s="141"/>
      <c r="D204" s="24" t="s">
        <v>137</v>
      </c>
      <c r="E204" s="123">
        <v>40.08</v>
      </c>
      <c r="F204" s="74">
        <f t="shared" si="8"/>
        <v>2.7988826815642459E-3</v>
      </c>
      <c r="H204" s="7"/>
    </row>
    <row r="205" spans="2:10" hidden="1" outlineLevel="2" x14ac:dyDescent="0.25">
      <c r="B205" s="130"/>
      <c r="C205" s="141"/>
      <c r="D205" s="24" t="s">
        <v>138</v>
      </c>
      <c r="E205" s="123">
        <v>52.33</v>
      </c>
      <c r="F205" s="74">
        <f t="shared" si="8"/>
        <v>3.6543296089385476E-3</v>
      </c>
      <c r="H205" s="7"/>
    </row>
    <row r="206" spans="2:10" hidden="1" outlineLevel="2" x14ac:dyDescent="0.25">
      <c r="B206" s="130"/>
      <c r="C206" s="141"/>
      <c r="D206" s="24" t="s">
        <v>139</v>
      </c>
      <c r="E206" s="123">
        <v>121.53</v>
      </c>
      <c r="F206" s="74">
        <f t="shared" si="8"/>
        <v>8.4867318435754187E-3</v>
      </c>
      <c r="H206" s="7"/>
    </row>
    <row r="207" spans="2:10" hidden="1" outlineLevel="2" x14ac:dyDescent="0.25">
      <c r="B207" s="130"/>
      <c r="C207" s="141"/>
      <c r="D207" s="24" t="s">
        <v>140</v>
      </c>
      <c r="E207" s="123">
        <v>29.66</v>
      </c>
      <c r="F207" s="74">
        <f t="shared" si="8"/>
        <v>2.0712290502793297E-3</v>
      </c>
      <c r="H207" s="7"/>
    </row>
    <row r="208" spans="2:10" hidden="1" outlineLevel="2" x14ac:dyDescent="0.25">
      <c r="B208" s="130"/>
      <c r="C208" s="141"/>
      <c r="D208" s="24" t="s">
        <v>141</v>
      </c>
      <c r="E208" s="123">
        <v>175.93</v>
      </c>
      <c r="F208" s="74">
        <f t="shared" si="8"/>
        <v>1.2285614525139666E-2</v>
      </c>
      <c r="H208" s="7"/>
    </row>
    <row r="209" spans="2:8" hidden="1" outlineLevel="2" x14ac:dyDescent="0.3">
      <c r="B209" s="130"/>
      <c r="C209" s="141"/>
      <c r="D209" s="54" t="s">
        <v>142</v>
      </c>
      <c r="E209" s="123">
        <v>281.92</v>
      </c>
      <c r="F209" s="74">
        <f t="shared" si="8"/>
        <v>1.9687150837988828E-2</v>
      </c>
      <c r="H209" s="7"/>
    </row>
    <row r="210" spans="2:8" hidden="1" outlineLevel="2" x14ac:dyDescent="0.3">
      <c r="B210" s="130"/>
      <c r="C210" s="141"/>
      <c r="D210" s="54" t="s">
        <v>143</v>
      </c>
      <c r="E210" s="55">
        <v>55.56</v>
      </c>
      <c r="F210" s="74">
        <f t="shared" si="8"/>
        <v>3.8798882681564248E-3</v>
      </c>
      <c r="H210" s="7"/>
    </row>
    <row r="211" spans="2:8" hidden="1" outlineLevel="2" x14ac:dyDescent="0.3">
      <c r="B211" s="130"/>
      <c r="C211" s="141"/>
      <c r="D211" s="54" t="s">
        <v>144</v>
      </c>
      <c r="E211" s="55">
        <v>41.63</v>
      </c>
      <c r="F211" s="74">
        <f t="shared" si="8"/>
        <v>2.9071229050279331E-3</v>
      </c>
      <c r="H211" s="7"/>
    </row>
    <row r="212" spans="2:8" hidden="1" outlineLevel="2" x14ac:dyDescent="0.3">
      <c r="B212" s="130"/>
      <c r="C212" s="141"/>
      <c r="D212" s="54" t="s">
        <v>145</v>
      </c>
      <c r="E212" s="55">
        <v>89.06</v>
      </c>
      <c r="F212" s="74">
        <f t="shared" si="8"/>
        <v>6.2192737430167601E-3</v>
      </c>
      <c r="H212" s="7"/>
    </row>
    <row r="213" spans="2:8" hidden="1" outlineLevel="2" x14ac:dyDescent="0.3">
      <c r="B213" s="130"/>
      <c r="C213" s="141"/>
      <c r="D213" s="54" t="s">
        <v>146</v>
      </c>
      <c r="E213" s="55">
        <v>92.78</v>
      </c>
      <c r="F213" s="74">
        <f t="shared" si="8"/>
        <v>6.479050279329609E-3</v>
      </c>
      <c r="H213" s="7"/>
    </row>
    <row r="214" spans="2:8" hidden="1" outlineLevel="2" x14ac:dyDescent="0.3">
      <c r="B214" s="130"/>
      <c r="C214" s="141"/>
      <c r="D214" s="54" t="s">
        <v>147</v>
      </c>
      <c r="E214" s="55">
        <v>23.76</v>
      </c>
      <c r="F214" s="74">
        <f t="shared" si="8"/>
        <v>1.6592178770949721E-3</v>
      </c>
      <c r="H214" s="7"/>
    </row>
    <row r="215" spans="2:8" hidden="1" outlineLevel="2" x14ac:dyDescent="0.3">
      <c r="B215" s="130"/>
      <c r="C215" s="141"/>
      <c r="D215" s="54" t="s">
        <v>148</v>
      </c>
      <c r="E215" s="55">
        <v>36.659999999999997</v>
      </c>
      <c r="F215" s="74">
        <f t="shared" si="8"/>
        <v>2.5600558659217877E-3</v>
      </c>
      <c r="H215" s="7"/>
    </row>
    <row r="216" spans="2:8" hidden="1" outlineLevel="2" x14ac:dyDescent="0.3">
      <c r="B216" s="130"/>
      <c r="C216" s="141"/>
      <c r="D216" s="54" t="s">
        <v>148</v>
      </c>
      <c r="E216" s="55">
        <v>26.75</v>
      </c>
      <c r="F216" s="74">
        <f t="shared" si="8"/>
        <v>1.8680167597765363E-3</v>
      </c>
      <c r="H216" s="7"/>
    </row>
    <row r="217" spans="2:8" hidden="1" outlineLevel="2" x14ac:dyDescent="0.3">
      <c r="B217" s="130"/>
      <c r="C217" s="141"/>
      <c r="F217" s="74">
        <f t="shared" si="8"/>
        <v>0</v>
      </c>
      <c r="H217" s="7"/>
    </row>
    <row r="218" spans="2:8" hidden="1" outlineLevel="2" x14ac:dyDescent="0.3">
      <c r="B218" s="130"/>
      <c r="C218" s="141"/>
      <c r="F218" s="74">
        <f t="shared" si="8"/>
        <v>0</v>
      </c>
      <c r="H218" s="7"/>
    </row>
    <row r="219" spans="2:8" hidden="1" outlineLevel="2" x14ac:dyDescent="0.3">
      <c r="B219" s="130"/>
      <c r="C219" s="141"/>
      <c r="F219" s="74">
        <f t="shared" si="8"/>
        <v>0</v>
      </c>
      <c r="H219" s="7"/>
    </row>
    <row r="220" spans="2:8" hidden="1" outlineLevel="2" x14ac:dyDescent="0.3">
      <c r="B220" s="130"/>
      <c r="C220" s="141"/>
      <c r="F220" s="74">
        <f t="shared" si="8"/>
        <v>0</v>
      </c>
      <c r="H220" s="7"/>
    </row>
    <row r="221" spans="2:8" hidden="1" outlineLevel="2" x14ac:dyDescent="0.3">
      <c r="B221" s="130"/>
      <c r="C221" s="141"/>
      <c r="F221" s="74">
        <f t="shared" si="8"/>
        <v>0</v>
      </c>
      <c r="H221" s="7"/>
    </row>
    <row r="222" spans="2:8" hidden="1" outlineLevel="2" x14ac:dyDescent="0.3">
      <c r="B222" s="130"/>
      <c r="C222" s="141"/>
      <c r="D222" s="54"/>
      <c r="E222" s="55"/>
      <c r="F222" s="74">
        <f t="shared" si="8"/>
        <v>0</v>
      </c>
      <c r="H222" s="7"/>
    </row>
    <row r="223" spans="2:8" hidden="1" outlineLevel="2" x14ac:dyDescent="0.3">
      <c r="B223" s="130"/>
      <c r="C223" s="141"/>
      <c r="F223" s="74">
        <f t="shared" si="8"/>
        <v>0</v>
      </c>
      <c r="H223" s="7"/>
    </row>
    <row r="224" spans="2:8" hidden="1" outlineLevel="2" x14ac:dyDescent="0.3">
      <c r="B224" s="130"/>
      <c r="C224" s="141"/>
      <c r="F224" s="74">
        <f t="shared" si="8"/>
        <v>0</v>
      </c>
      <c r="H224" s="7"/>
    </row>
    <row r="225" spans="2:8" ht="4.5" hidden="1" customHeight="1" outlineLevel="2" x14ac:dyDescent="0.3">
      <c r="B225" s="130"/>
      <c r="C225" s="141"/>
      <c r="D225" s="54"/>
      <c r="E225" s="55"/>
      <c r="F225" s="74">
        <f t="shared" si="8"/>
        <v>0</v>
      </c>
      <c r="H225" s="7"/>
    </row>
    <row r="226" spans="2:8" ht="19.5" hidden="1" customHeight="1" outlineLevel="1" collapsed="1" x14ac:dyDescent="0.3">
      <c r="B226" s="130"/>
      <c r="C226" s="141"/>
      <c r="D226" s="1" t="s">
        <v>15</v>
      </c>
      <c r="E226" s="16">
        <f>SUM(E227:E240)</f>
        <v>1073.1000000000001</v>
      </c>
      <c r="F226" s="74">
        <f t="shared" si="8"/>
        <v>7.4937150837988839E-2</v>
      </c>
      <c r="G226" s="6">
        <v>0.04</v>
      </c>
      <c r="H226" s="7">
        <v>570</v>
      </c>
    </row>
    <row r="227" spans="2:8" hidden="1" outlineLevel="2" x14ac:dyDescent="0.3">
      <c r="B227" s="130"/>
      <c r="C227" s="141"/>
      <c r="D227" s="56" t="s">
        <v>92</v>
      </c>
      <c r="E227" s="125">
        <v>89.51</v>
      </c>
      <c r="F227" s="101"/>
      <c r="G227" s="6"/>
      <c r="H227" s="7"/>
    </row>
    <row r="228" spans="2:8" hidden="1" outlineLevel="2" x14ac:dyDescent="0.3">
      <c r="B228" s="130"/>
      <c r="C228" s="141"/>
      <c r="D228" s="56" t="s">
        <v>149</v>
      </c>
      <c r="E228" s="125">
        <v>49.47</v>
      </c>
      <c r="F228" s="101"/>
      <c r="G228" s="6"/>
      <c r="H228" s="7"/>
    </row>
    <row r="229" spans="2:8" hidden="1" outlineLevel="2" x14ac:dyDescent="0.3">
      <c r="B229" s="130"/>
      <c r="C229" s="141"/>
      <c r="D229" s="58" t="s">
        <v>130</v>
      </c>
      <c r="E229" s="126">
        <v>290</v>
      </c>
      <c r="F229" s="101"/>
      <c r="G229" s="6"/>
      <c r="H229" s="7"/>
    </row>
    <row r="230" spans="2:8" hidden="1" outlineLevel="2" x14ac:dyDescent="0.3">
      <c r="B230" s="130"/>
      <c r="C230" s="141"/>
      <c r="D230" s="56" t="s">
        <v>150</v>
      </c>
      <c r="E230" s="125">
        <v>60.69</v>
      </c>
      <c r="F230" s="101"/>
      <c r="G230" s="6"/>
      <c r="H230" s="7"/>
    </row>
    <row r="231" spans="2:8" hidden="1" outlineLevel="2" x14ac:dyDescent="0.3">
      <c r="B231" s="130"/>
      <c r="C231" s="141"/>
      <c r="D231" s="56" t="s">
        <v>151</v>
      </c>
      <c r="E231" s="125">
        <v>54.25</v>
      </c>
      <c r="F231" s="101"/>
      <c r="G231" s="6"/>
      <c r="H231" s="7"/>
    </row>
    <row r="232" spans="2:8" hidden="1" outlineLevel="2" x14ac:dyDescent="0.3">
      <c r="B232" s="130"/>
      <c r="C232" s="141"/>
      <c r="D232" s="58" t="s">
        <v>141</v>
      </c>
      <c r="E232" s="126">
        <v>175.93</v>
      </c>
      <c r="F232" s="101"/>
      <c r="G232" s="6"/>
      <c r="H232" s="7"/>
    </row>
    <row r="233" spans="2:8" hidden="1" outlineLevel="2" x14ac:dyDescent="0.3">
      <c r="B233" s="130"/>
      <c r="C233" s="141"/>
      <c r="D233" s="58" t="s">
        <v>131</v>
      </c>
      <c r="E233" s="126">
        <v>115.28</v>
      </c>
      <c r="F233" s="101"/>
      <c r="G233" s="6"/>
      <c r="H233" s="7"/>
    </row>
    <row r="234" spans="2:8" hidden="1" outlineLevel="2" x14ac:dyDescent="0.3">
      <c r="B234" s="130"/>
      <c r="C234" s="141"/>
      <c r="D234" s="61" t="s">
        <v>152</v>
      </c>
      <c r="E234" s="125">
        <v>110</v>
      </c>
      <c r="F234" s="101"/>
      <c r="G234" s="6"/>
      <c r="H234" s="7"/>
    </row>
    <row r="235" spans="2:8" hidden="1" outlineLevel="2" x14ac:dyDescent="0.3">
      <c r="B235" s="130"/>
      <c r="C235" s="141"/>
      <c r="D235" s="61" t="s">
        <v>153</v>
      </c>
      <c r="E235" s="125">
        <v>52.78</v>
      </c>
      <c r="F235" s="101"/>
      <c r="G235" s="6"/>
      <c r="H235" s="7"/>
    </row>
    <row r="236" spans="2:8" hidden="1" outlineLevel="2" x14ac:dyDescent="0.3">
      <c r="B236" s="130"/>
      <c r="C236" s="141"/>
      <c r="D236" s="105" t="s">
        <v>154</v>
      </c>
      <c r="E236" s="127">
        <v>75.19</v>
      </c>
      <c r="F236" s="101"/>
      <c r="G236" s="6"/>
      <c r="H236" s="7"/>
    </row>
    <row r="237" spans="2:8" hidden="1" outlineLevel="2" x14ac:dyDescent="0.3">
      <c r="B237" s="130"/>
      <c r="C237" s="141"/>
      <c r="F237" s="74"/>
      <c r="G237" s="6"/>
      <c r="H237" s="7"/>
    </row>
    <row r="238" spans="2:8" hidden="1" outlineLevel="2" x14ac:dyDescent="0.3">
      <c r="B238" s="130"/>
      <c r="C238" s="141"/>
      <c r="F238" s="74"/>
      <c r="G238" s="6"/>
      <c r="H238" s="7"/>
    </row>
    <row r="239" spans="2:8" hidden="1" outlineLevel="2" x14ac:dyDescent="0.3">
      <c r="B239" s="130"/>
      <c r="C239" s="141"/>
      <c r="D239" s="54"/>
      <c r="E239" s="126"/>
      <c r="F239" s="74"/>
      <c r="G239" s="6"/>
      <c r="H239" s="7"/>
    </row>
    <row r="240" spans="2:8" hidden="1" outlineLevel="2" x14ac:dyDescent="0.3">
      <c r="B240" s="130"/>
      <c r="C240" s="141"/>
      <c r="D240" s="54"/>
      <c r="E240" s="64"/>
      <c r="F240" s="74"/>
      <c r="G240" s="6"/>
      <c r="H240" s="7"/>
    </row>
    <row r="241" spans="2:10" ht="14.4" hidden="1" outlineLevel="1" thickBot="1" x14ac:dyDescent="0.35">
      <c r="B241" s="130"/>
      <c r="C241" s="142"/>
      <c r="D241" s="11"/>
      <c r="E241" s="17">
        <f>E226+E196</f>
        <v>3320.1000000000004</v>
      </c>
      <c r="F241" s="80">
        <f>E241*100/$E$107*0.01</f>
        <v>0.15850993688916434</v>
      </c>
      <c r="G241" s="12">
        <f>G196+G226</f>
        <v>0.08</v>
      </c>
      <c r="H241" s="71">
        <f>H226+H196</f>
        <v>1140</v>
      </c>
    </row>
    <row r="242" spans="2:10" ht="14.4" hidden="1" outlineLevel="1" thickTop="1" x14ac:dyDescent="0.3">
      <c r="B242" s="130"/>
      <c r="C242" s="143" t="s">
        <v>61</v>
      </c>
      <c r="D242" s="13" t="s">
        <v>20</v>
      </c>
      <c r="E242" s="128">
        <v>1580</v>
      </c>
      <c r="F242" s="74">
        <f>E242*100/$E$185*0.01</f>
        <v>0.11033519553072627</v>
      </c>
      <c r="G242" s="15">
        <v>0.05</v>
      </c>
      <c r="H242" s="72">
        <v>1200</v>
      </c>
    </row>
    <row r="243" spans="2:10" hidden="1" outlineLevel="1" x14ac:dyDescent="0.3">
      <c r="B243" s="130"/>
      <c r="C243" s="144"/>
      <c r="D243" s="1" t="s">
        <v>21</v>
      </c>
      <c r="E243" s="5"/>
      <c r="F243" s="74">
        <f t="shared" ref="F243:F248" si="9">E243*100/$E$185*0.01</f>
        <v>0</v>
      </c>
      <c r="G243" s="3">
        <v>0.02</v>
      </c>
      <c r="H243" s="7">
        <v>500</v>
      </c>
    </row>
    <row r="244" spans="2:10" hidden="1" outlineLevel="1" x14ac:dyDescent="0.3">
      <c r="B244" s="130"/>
      <c r="C244" s="144"/>
      <c r="D244" s="1" t="s">
        <v>22</v>
      </c>
      <c r="E244" s="5"/>
      <c r="F244" s="74">
        <f t="shared" si="9"/>
        <v>0</v>
      </c>
      <c r="G244" s="3">
        <v>0.02</v>
      </c>
      <c r="H244" s="7">
        <v>350</v>
      </c>
    </row>
    <row r="245" spans="2:10" hidden="1" outlineLevel="1" x14ac:dyDescent="0.3">
      <c r="B245" s="130"/>
      <c r="C245" s="144"/>
      <c r="D245" s="1" t="s">
        <v>23</v>
      </c>
      <c r="E245" s="5"/>
      <c r="F245" s="74">
        <f>E245*100/$E$185*0.01</f>
        <v>0</v>
      </c>
      <c r="G245" s="3">
        <v>0.01</v>
      </c>
      <c r="H245" s="7">
        <v>300</v>
      </c>
    </row>
    <row r="246" spans="2:10" hidden="1" outlineLevel="1" x14ac:dyDescent="0.3">
      <c r="B246" s="130"/>
      <c r="C246" s="144"/>
      <c r="D246" s="1" t="s">
        <v>24</v>
      </c>
      <c r="E246" s="5"/>
      <c r="F246" s="74">
        <f t="shared" si="9"/>
        <v>0</v>
      </c>
      <c r="G246" s="3">
        <v>0.01</v>
      </c>
      <c r="H246" s="7">
        <v>150</v>
      </c>
    </row>
    <row r="247" spans="2:10" hidden="1" outlineLevel="1" x14ac:dyDescent="0.3">
      <c r="B247" s="130"/>
      <c r="C247" s="144"/>
      <c r="D247" s="1" t="s">
        <v>128</v>
      </c>
      <c r="E247" s="5"/>
      <c r="F247" s="74">
        <f t="shared" si="9"/>
        <v>0</v>
      </c>
      <c r="G247" s="3">
        <v>0.01</v>
      </c>
      <c r="H247" s="7">
        <v>150</v>
      </c>
    </row>
    <row r="248" spans="2:10" hidden="1" outlineLevel="1" x14ac:dyDescent="0.3">
      <c r="B248" s="130"/>
      <c r="C248" s="144"/>
      <c r="D248" s="1" t="s">
        <v>19</v>
      </c>
      <c r="E248" s="5"/>
      <c r="F248" s="74">
        <f t="shared" si="9"/>
        <v>0</v>
      </c>
      <c r="G248" s="3">
        <v>0.02</v>
      </c>
      <c r="H248" s="7">
        <v>500</v>
      </c>
      <c r="J248" s="18"/>
    </row>
    <row r="249" spans="2:10" ht="14.4" hidden="1" outlineLevel="1" thickBot="1" x14ac:dyDescent="0.35">
      <c r="B249" s="130"/>
      <c r="C249" s="144"/>
      <c r="D249" s="11" t="s">
        <v>16</v>
      </c>
      <c r="E249" s="9">
        <f>SUM(E242:E248)</f>
        <v>1580</v>
      </c>
      <c r="F249" s="74">
        <f>E249*100/$E$185*0.01</f>
        <v>0.11033519553072627</v>
      </c>
      <c r="G249" s="10">
        <v>0.2</v>
      </c>
      <c r="H249" s="71">
        <f>SUM(H242:H248)</f>
        <v>3150</v>
      </c>
    </row>
    <row r="250" spans="2:10" ht="15" hidden="1" outlineLevel="1" thickTop="1" thickBot="1" x14ac:dyDescent="0.35">
      <c r="B250" s="131"/>
      <c r="C250" s="42"/>
      <c r="D250" s="42"/>
      <c r="E250" s="43" t="s">
        <v>78</v>
      </c>
      <c r="F250" s="83">
        <f>SUM(F249,F241,F195)</f>
        <v>0.92635071901206945</v>
      </c>
      <c r="G250" s="66"/>
      <c r="H250" s="73"/>
      <c r="J250" s="31" t="s">
        <v>72</v>
      </c>
    </row>
    <row r="251" spans="2:10" collapsed="1" x14ac:dyDescent="0.3">
      <c r="B251" s="84" t="s">
        <v>155</v>
      </c>
      <c r="C251" s="85"/>
      <c r="D251" s="85"/>
      <c r="E251" s="40"/>
      <c r="F251" s="77"/>
      <c r="G251" s="86"/>
      <c r="H251" s="44"/>
      <c r="J251" s="32">
        <f>E258-E268</f>
        <v>4904.5200000000004</v>
      </c>
    </row>
    <row r="252" spans="2:10" hidden="1" outlineLevel="1" x14ac:dyDescent="0.3">
      <c r="B252" s="130" t="s">
        <v>155</v>
      </c>
      <c r="C252" s="132" t="s">
        <v>6</v>
      </c>
      <c r="D252" s="1" t="s">
        <v>0</v>
      </c>
      <c r="E252" s="5">
        <v>7000</v>
      </c>
      <c r="F252" s="74">
        <f>E252*100/$E$258*0.01</f>
        <v>0.48882681564245806</v>
      </c>
      <c r="H252" s="7"/>
      <c r="J252" s="32"/>
    </row>
    <row r="253" spans="2:10" hidden="1" outlineLevel="1" x14ac:dyDescent="0.3">
      <c r="B253" s="130"/>
      <c r="C253" s="132"/>
      <c r="D253" s="1" t="s">
        <v>8</v>
      </c>
      <c r="E253" s="5">
        <v>1200</v>
      </c>
      <c r="F253" s="74">
        <f t="shared" ref="F253:F257" si="10">E253*100/$E$258*0.01</f>
        <v>8.3798882681564241E-2</v>
      </c>
      <c r="H253" s="7"/>
      <c r="J253" s="33" t="s">
        <v>74</v>
      </c>
    </row>
    <row r="254" spans="2:10" hidden="1" outlineLevel="1" x14ac:dyDescent="0.3">
      <c r="B254" s="130"/>
      <c r="C254" s="132"/>
      <c r="D254" s="1" t="s">
        <v>9</v>
      </c>
      <c r="E254" s="5">
        <v>120</v>
      </c>
      <c r="F254" s="74">
        <f t="shared" si="10"/>
        <v>8.3798882681564244E-3</v>
      </c>
      <c r="H254" s="7"/>
      <c r="J254" s="32">
        <f>E258-(E268+H309)</f>
        <v>3764.5200000000004</v>
      </c>
    </row>
    <row r="255" spans="2:10" hidden="1" outlineLevel="1" x14ac:dyDescent="0.3">
      <c r="B255" s="130"/>
      <c r="C255" s="132"/>
      <c r="D255" s="1" t="s">
        <v>10</v>
      </c>
      <c r="E255" s="5">
        <v>500</v>
      </c>
      <c r="F255" s="74">
        <f t="shared" si="10"/>
        <v>3.4916201117318434E-2</v>
      </c>
      <c r="H255" s="7"/>
      <c r="J255" s="34"/>
    </row>
    <row r="256" spans="2:10" hidden="1" outlineLevel="1" x14ac:dyDescent="0.3">
      <c r="B256" s="130"/>
      <c r="C256" s="132"/>
      <c r="D256" s="1" t="s">
        <v>1</v>
      </c>
      <c r="E256" s="5">
        <v>5500</v>
      </c>
      <c r="F256" s="74">
        <f t="shared" si="10"/>
        <v>0.38407821229050276</v>
      </c>
      <c r="H256" s="7"/>
      <c r="J256" s="35" t="s">
        <v>75</v>
      </c>
    </row>
    <row r="257" spans="2:10" hidden="1" outlineLevel="1" x14ac:dyDescent="0.3">
      <c r="B257" s="130"/>
      <c r="C257" s="132"/>
      <c r="E257" s="5"/>
      <c r="F257" s="74">
        <f t="shared" si="10"/>
        <v>0</v>
      </c>
      <c r="H257" s="7"/>
      <c r="J257" s="32">
        <f>E258-E268-E309-E317</f>
        <v>1722.4500000000007</v>
      </c>
    </row>
    <row r="258" spans="2:10" ht="14.4" hidden="1" outlineLevel="1" thickBot="1" x14ac:dyDescent="0.35">
      <c r="B258" s="130"/>
      <c r="C258" s="133"/>
      <c r="D258" s="8"/>
      <c r="E258" s="9">
        <f>SUM(E252:E257)</f>
        <v>14320</v>
      </c>
      <c r="F258" s="78"/>
      <c r="G258" s="10"/>
      <c r="H258" s="68"/>
      <c r="J258" s="36"/>
    </row>
    <row r="259" spans="2:10" ht="15" hidden="1" outlineLevel="1" thickTop="1" thickBot="1" x14ac:dyDescent="0.35">
      <c r="B259" s="130"/>
      <c r="C259" s="52" t="s">
        <v>77</v>
      </c>
      <c r="D259" s="49" t="s">
        <v>66</v>
      </c>
      <c r="E259" s="50"/>
      <c r="F259" s="79">
        <f>E259*100/$E$258*0.01</f>
        <v>0</v>
      </c>
      <c r="G259" s="51"/>
      <c r="H259" s="69"/>
      <c r="J259" s="37" t="s">
        <v>76</v>
      </c>
    </row>
    <row r="260" spans="2:10" hidden="1" outlineLevel="1" x14ac:dyDescent="0.3">
      <c r="B260" s="130"/>
      <c r="C260" s="134" t="s">
        <v>7</v>
      </c>
      <c r="D260" s="1" t="s">
        <v>2</v>
      </c>
      <c r="E260" s="5">
        <v>4605.3500000000004</v>
      </c>
      <c r="F260" s="74">
        <f>E260*100/$E$258*0.01</f>
        <v>0.32160265363128498</v>
      </c>
      <c r="G260" s="136">
        <v>0.6</v>
      </c>
      <c r="H260" s="138">
        <f>E258*60%</f>
        <v>8592</v>
      </c>
      <c r="J260" s="38">
        <f>SUM(E268,E309,E317)</f>
        <v>12597.55</v>
      </c>
    </row>
    <row r="261" spans="2:10" hidden="1" outlineLevel="1" x14ac:dyDescent="0.3">
      <c r="B261" s="130"/>
      <c r="C261" s="134"/>
      <c r="D261" s="1" t="s">
        <v>3</v>
      </c>
      <c r="E261" s="5">
        <v>1450</v>
      </c>
      <c r="F261" s="74">
        <f t="shared" ref="F261:F267" si="11">E261*100/$E$258*0.01</f>
        <v>0.10125698324022347</v>
      </c>
      <c r="G261" s="136"/>
      <c r="H261" s="138"/>
    </row>
    <row r="262" spans="2:10" hidden="1" outlineLevel="1" x14ac:dyDescent="0.3">
      <c r="B262" s="130"/>
      <c r="C262" s="134"/>
      <c r="D262" s="1" t="s">
        <v>4</v>
      </c>
      <c r="E262" s="5">
        <v>1333.22</v>
      </c>
      <c r="F262" s="74">
        <f t="shared" si="11"/>
        <v>9.3101955307262577E-2</v>
      </c>
      <c r="G262" s="136"/>
      <c r="H262" s="138"/>
    </row>
    <row r="263" spans="2:10" hidden="1" outlineLevel="1" x14ac:dyDescent="0.3">
      <c r="B263" s="130"/>
      <c r="C263" s="134"/>
      <c r="D263" s="1" t="s">
        <v>19</v>
      </c>
      <c r="E263" s="5">
        <v>1000</v>
      </c>
      <c r="F263" s="74">
        <f t="shared" si="11"/>
        <v>6.9832402234636867E-2</v>
      </c>
      <c r="G263" s="136"/>
      <c r="H263" s="138"/>
    </row>
    <row r="264" spans="2:10" hidden="1" outlineLevel="1" x14ac:dyDescent="0.3">
      <c r="B264" s="130"/>
      <c r="C264" s="134"/>
      <c r="D264" s="1" t="s">
        <v>11</v>
      </c>
      <c r="E264" s="5">
        <v>110</v>
      </c>
      <c r="F264" s="74">
        <f t="shared" si="11"/>
        <v>7.6815642458100564E-3</v>
      </c>
      <c r="G264" s="136"/>
      <c r="H264" s="138"/>
    </row>
    <row r="265" spans="2:10" hidden="1" outlineLevel="1" x14ac:dyDescent="0.3">
      <c r="B265" s="130"/>
      <c r="C265" s="134"/>
      <c r="D265" s="1" t="s">
        <v>12</v>
      </c>
      <c r="E265" s="5">
        <v>400</v>
      </c>
      <c r="F265" s="74">
        <f t="shared" si="11"/>
        <v>2.7932960893854747E-2</v>
      </c>
      <c r="G265" s="136"/>
      <c r="H265" s="138"/>
    </row>
    <row r="266" spans="2:10" hidden="1" outlineLevel="1" x14ac:dyDescent="0.3">
      <c r="B266" s="130"/>
      <c r="C266" s="134"/>
      <c r="D266" s="1" t="s">
        <v>13</v>
      </c>
      <c r="E266" s="5">
        <v>316.91000000000003</v>
      </c>
      <c r="F266" s="74">
        <f t="shared" si="11"/>
        <v>2.2130586592178775E-2</v>
      </c>
      <c r="G266" s="136"/>
      <c r="H266" s="138"/>
      <c r="J266" s="18"/>
    </row>
    <row r="267" spans="2:10" hidden="1" outlineLevel="1" x14ac:dyDescent="0.3">
      <c r="B267" s="130"/>
      <c r="C267" s="134"/>
      <c r="D267" s="1" t="s">
        <v>5</v>
      </c>
      <c r="E267" s="5">
        <v>200</v>
      </c>
      <c r="F267" s="74">
        <f t="shared" si="11"/>
        <v>1.3966480446927373E-2</v>
      </c>
      <c r="G267" s="136"/>
      <c r="H267" s="138"/>
    </row>
    <row r="268" spans="2:10" ht="14.4" hidden="1" outlineLevel="1" thickBot="1" x14ac:dyDescent="0.35">
      <c r="B268" s="130"/>
      <c r="C268" s="135"/>
      <c r="D268" s="11"/>
      <c r="E268" s="9">
        <f>SUM(E260:E267)</f>
        <v>9415.48</v>
      </c>
      <c r="F268" s="80">
        <f>SUM(F260:F267)</f>
        <v>0.65750558659217884</v>
      </c>
      <c r="G268" s="137"/>
      <c r="H268" s="139"/>
    </row>
    <row r="269" spans="2:10" ht="21.45" hidden="1" customHeight="1" outlineLevel="1" collapsed="1" thickTop="1" x14ac:dyDescent="0.3">
      <c r="B269" s="130"/>
      <c r="C269" s="140" t="s">
        <v>60</v>
      </c>
      <c r="D269" s="13" t="s">
        <v>14</v>
      </c>
      <c r="E269" s="14">
        <f>SUM(E270:E293)</f>
        <v>2184.16</v>
      </c>
      <c r="F269" s="74">
        <f>E269*100/$E$258*0.01</f>
        <v>0.15252513966480447</v>
      </c>
      <c r="G269" s="15">
        <v>0.04</v>
      </c>
      <c r="H269" s="72">
        <v>570</v>
      </c>
    </row>
    <row r="270" spans="2:10" hidden="1" outlineLevel="2" x14ac:dyDescent="0.25">
      <c r="B270" s="130"/>
      <c r="C270" s="141"/>
      <c r="D270" s="24" t="s">
        <v>156</v>
      </c>
      <c r="E270" s="53">
        <v>290.95999999999998</v>
      </c>
      <c r="F270" s="74">
        <f t="shared" ref="F270:F294" si="12">E270*100/$E$258*0.01</f>
        <v>2.0318435754189942E-2</v>
      </c>
      <c r="H270" s="7"/>
    </row>
    <row r="271" spans="2:10" hidden="1" outlineLevel="2" x14ac:dyDescent="0.25">
      <c r="B271" s="130"/>
      <c r="C271" s="141"/>
      <c r="D271" s="24" t="s">
        <v>157</v>
      </c>
      <c r="E271" s="53">
        <v>121.21</v>
      </c>
      <c r="F271" s="74">
        <f t="shared" si="12"/>
        <v>8.4643854748603347E-3</v>
      </c>
      <c r="H271" s="7"/>
    </row>
    <row r="272" spans="2:10" hidden="1" outlineLevel="2" x14ac:dyDescent="0.25">
      <c r="B272" s="130"/>
      <c r="C272" s="141"/>
      <c r="D272" s="24" t="s">
        <v>158</v>
      </c>
      <c r="E272" s="53">
        <v>81.48</v>
      </c>
      <c r="F272" s="74">
        <f t="shared" si="12"/>
        <v>5.6899441340782118E-3</v>
      </c>
      <c r="H272" s="7"/>
    </row>
    <row r="273" spans="2:8" hidden="1" outlineLevel="2" x14ac:dyDescent="0.25">
      <c r="B273" s="130"/>
      <c r="C273" s="141"/>
      <c r="D273" s="24" t="s">
        <v>159</v>
      </c>
      <c r="E273" s="53">
        <v>280.20999999999998</v>
      </c>
      <c r="F273" s="74">
        <f t="shared" si="12"/>
        <v>1.9567737430167594E-2</v>
      </c>
      <c r="H273" s="7"/>
    </row>
    <row r="274" spans="2:8" hidden="1" outlineLevel="2" x14ac:dyDescent="0.25">
      <c r="B274" s="130"/>
      <c r="C274" s="141"/>
      <c r="D274" s="24" t="s">
        <v>160</v>
      </c>
      <c r="E274" s="53">
        <v>156.65</v>
      </c>
      <c r="F274" s="74">
        <f t="shared" si="12"/>
        <v>1.0939245810055866E-2</v>
      </c>
      <c r="H274" s="7"/>
    </row>
    <row r="275" spans="2:8" hidden="1" outlineLevel="2" x14ac:dyDescent="0.25">
      <c r="B275" s="130"/>
      <c r="C275" s="141"/>
      <c r="D275" s="99" t="s">
        <v>161</v>
      </c>
      <c r="E275" s="100">
        <v>186</v>
      </c>
      <c r="F275" s="74">
        <f t="shared" si="12"/>
        <v>1.2988826815642458E-2</v>
      </c>
      <c r="H275" s="7"/>
    </row>
    <row r="276" spans="2:8" hidden="1" outlineLevel="2" x14ac:dyDescent="0.25">
      <c r="B276" s="130"/>
      <c r="C276" s="141"/>
      <c r="D276" s="99" t="s">
        <v>162</v>
      </c>
      <c r="E276" s="100">
        <v>40.08</v>
      </c>
      <c r="F276" s="74">
        <f t="shared" si="12"/>
        <v>2.7988826815642459E-3</v>
      </c>
      <c r="H276" s="7"/>
    </row>
    <row r="277" spans="2:8" hidden="1" outlineLevel="2" x14ac:dyDescent="0.25">
      <c r="B277" s="130"/>
      <c r="C277" s="141"/>
      <c r="D277" s="24" t="s">
        <v>163</v>
      </c>
      <c r="E277" s="53">
        <v>52.33</v>
      </c>
      <c r="F277" s="74">
        <f t="shared" si="12"/>
        <v>3.6543296089385476E-3</v>
      </c>
      <c r="H277" s="7"/>
    </row>
    <row r="278" spans="2:8" hidden="1" outlineLevel="2" x14ac:dyDescent="0.25">
      <c r="B278" s="130"/>
      <c r="C278" s="141"/>
      <c r="D278" s="24" t="s">
        <v>164</v>
      </c>
      <c r="E278" s="53">
        <v>121.53</v>
      </c>
      <c r="F278" s="74">
        <f t="shared" si="12"/>
        <v>8.4867318435754187E-3</v>
      </c>
      <c r="H278" s="7"/>
    </row>
    <row r="279" spans="2:8" hidden="1" outlineLevel="2" x14ac:dyDescent="0.25">
      <c r="B279" s="130"/>
      <c r="C279" s="141"/>
      <c r="D279" s="24" t="s">
        <v>165</v>
      </c>
      <c r="E279" s="53">
        <v>29.66</v>
      </c>
      <c r="F279" s="74">
        <f t="shared" si="12"/>
        <v>2.0712290502793297E-3</v>
      </c>
      <c r="H279" s="7"/>
    </row>
    <row r="280" spans="2:8" hidden="1" outlineLevel="2" x14ac:dyDescent="0.25">
      <c r="B280" s="130"/>
      <c r="C280" s="141"/>
      <c r="D280" s="24" t="s">
        <v>166</v>
      </c>
      <c r="E280" s="53">
        <v>175.93</v>
      </c>
      <c r="F280" s="74">
        <f t="shared" si="12"/>
        <v>1.2285614525139666E-2</v>
      </c>
      <c r="H280" s="7"/>
    </row>
    <row r="281" spans="2:8" hidden="1" outlineLevel="2" x14ac:dyDescent="0.25">
      <c r="B281" s="130"/>
      <c r="C281" s="141"/>
      <c r="D281" s="54" t="s">
        <v>167</v>
      </c>
      <c r="E281" s="53">
        <v>281.92</v>
      </c>
      <c r="F281" s="74">
        <f t="shared" si="12"/>
        <v>1.9687150837988828E-2</v>
      </c>
      <c r="H281" s="7"/>
    </row>
    <row r="282" spans="2:8" hidden="1" outlineLevel="2" x14ac:dyDescent="0.3">
      <c r="B282" s="130"/>
      <c r="C282" s="141"/>
      <c r="D282" s="54" t="s">
        <v>168</v>
      </c>
      <c r="E282" s="55">
        <v>55.56</v>
      </c>
      <c r="F282" s="74">
        <f t="shared" si="12"/>
        <v>3.8798882681564248E-3</v>
      </c>
      <c r="H282" s="7"/>
    </row>
    <row r="283" spans="2:8" hidden="1" outlineLevel="2" x14ac:dyDescent="0.3">
      <c r="B283" s="130"/>
      <c r="C283" s="141"/>
      <c r="D283" s="54" t="s">
        <v>169</v>
      </c>
      <c r="E283" s="55">
        <v>41.63</v>
      </c>
      <c r="F283" s="74">
        <f t="shared" si="12"/>
        <v>2.9071229050279331E-3</v>
      </c>
      <c r="H283" s="7"/>
    </row>
    <row r="284" spans="2:8" hidden="1" outlineLevel="2" x14ac:dyDescent="0.3">
      <c r="B284" s="130"/>
      <c r="C284" s="141"/>
      <c r="D284" s="54" t="s">
        <v>170</v>
      </c>
      <c r="E284" s="55">
        <v>89.06</v>
      </c>
      <c r="F284" s="74">
        <f t="shared" si="12"/>
        <v>6.2192737430167601E-3</v>
      </c>
      <c r="H284" s="7"/>
    </row>
    <row r="285" spans="2:8" hidden="1" outlineLevel="2" x14ac:dyDescent="0.3">
      <c r="B285" s="130"/>
      <c r="C285" s="141"/>
      <c r="D285" s="106" t="s">
        <v>171</v>
      </c>
      <c r="E285" s="107">
        <v>92.78</v>
      </c>
      <c r="F285" s="74">
        <f t="shared" si="12"/>
        <v>6.479050279329609E-3</v>
      </c>
      <c r="H285" s="7"/>
    </row>
    <row r="286" spans="2:8" hidden="1" outlineLevel="2" x14ac:dyDescent="0.3">
      <c r="B286" s="130"/>
      <c r="C286" s="141"/>
      <c r="D286" s="54" t="s">
        <v>172</v>
      </c>
      <c r="E286" s="55">
        <v>23.76</v>
      </c>
      <c r="F286" s="74">
        <f t="shared" si="12"/>
        <v>1.6592178770949721E-3</v>
      </c>
      <c r="H286" s="7"/>
    </row>
    <row r="287" spans="2:8" hidden="1" outlineLevel="2" x14ac:dyDescent="0.3">
      <c r="B287" s="130"/>
      <c r="C287" s="141"/>
      <c r="D287" s="54" t="s">
        <v>173</v>
      </c>
      <c r="E287" s="55">
        <v>36.659999999999997</v>
      </c>
      <c r="F287" s="74">
        <f t="shared" si="12"/>
        <v>2.5600558659217877E-3</v>
      </c>
      <c r="H287" s="7"/>
    </row>
    <row r="288" spans="2:8" hidden="1" outlineLevel="2" x14ac:dyDescent="0.3">
      <c r="B288" s="130"/>
      <c r="C288" s="141"/>
      <c r="D288" s="54" t="s">
        <v>173</v>
      </c>
      <c r="E288" s="55">
        <v>26.75</v>
      </c>
      <c r="F288" s="74">
        <f t="shared" si="12"/>
        <v>1.8680167597765363E-3</v>
      </c>
      <c r="H288" s="7"/>
    </row>
    <row r="289" spans="2:8" hidden="1" outlineLevel="2" x14ac:dyDescent="0.3">
      <c r="B289" s="130"/>
      <c r="C289" s="141"/>
      <c r="F289" s="74">
        <f t="shared" si="12"/>
        <v>0</v>
      </c>
      <c r="H289" s="7"/>
    </row>
    <row r="290" spans="2:8" hidden="1" outlineLevel="2" x14ac:dyDescent="0.3">
      <c r="B290" s="130"/>
      <c r="C290" s="141"/>
      <c r="F290" s="74">
        <f t="shared" si="12"/>
        <v>0</v>
      </c>
      <c r="H290" s="7"/>
    </row>
    <row r="291" spans="2:8" hidden="1" outlineLevel="2" x14ac:dyDescent="0.3">
      <c r="B291" s="130"/>
      <c r="C291" s="141"/>
      <c r="F291" s="74">
        <f t="shared" si="12"/>
        <v>0</v>
      </c>
      <c r="H291" s="7"/>
    </row>
    <row r="292" spans="2:8" hidden="1" outlineLevel="2" x14ac:dyDescent="0.3">
      <c r="B292" s="130"/>
      <c r="C292" s="141"/>
      <c r="F292" s="74">
        <f t="shared" si="12"/>
        <v>0</v>
      </c>
      <c r="H292" s="7"/>
    </row>
    <row r="293" spans="2:8" hidden="1" outlineLevel="2" x14ac:dyDescent="0.3">
      <c r="B293" s="130"/>
      <c r="C293" s="141"/>
      <c r="F293" s="74">
        <f t="shared" si="12"/>
        <v>0</v>
      </c>
      <c r="H293" s="7"/>
    </row>
    <row r="294" spans="2:8" hidden="1" outlineLevel="1" collapsed="1" x14ac:dyDescent="0.3">
      <c r="B294" s="130"/>
      <c r="C294" s="141"/>
      <c r="D294" s="1" t="s">
        <v>15</v>
      </c>
      <c r="E294" s="16">
        <f>SUM(E295:E308)</f>
        <v>997.91000000000008</v>
      </c>
      <c r="F294" s="74">
        <f t="shared" si="12"/>
        <v>6.968645251396649E-2</v>
      </c>
      <c r="G294" s="6">
        <v>0.04</v>
      </c>
      <c r="H294" s="7">
        <v>570</v>
      </c>
    </row>
    <row r="295" spans="2:8" hidden="1" outlineLevel="2" x14ac:dyDescent="0.25">
      <c r="B295" s="130"/>
      <c r="C295" s="141"/>
      <c r="D295" s="56" t="s">
        <v>132</v>
      </c>
      <c r="E295" s="57">
        <v>89.51</v>
      </c>
      <c r="F295" s="101"/>
      <c r="G295" s="6"/>
      <c r="H295" s="7"/>
    </row>
    <row r="296" spans="2:8" hidden="1" outlineLevel="2" x14ac:dyDescent="0.25">
      <c r="B296" s="130"/>
      <c r="C296" s="141"/>
      <c r="D296" s="56" t="s">
        <v>174</v>
      </c>
      <c r="E296" s="57">
        <v>49.47</v>
      </c>
      <c r="F296" s="101"/>
      <c r="G296" s="6"/>
      <c r="H296" s="7"/>
    </row>
    <row r="297" spans="2:8" hidden="1" outlineLevel="2" x14ac:dyDescent="0.25">
      <c r="B297" s="130"/>
      <c r="C297" s="141"/>
      <c r="D297" s="58" t="s">
        <v>156</v>
      </c>
      <c r="E297" s="25">
        <v>290</v>
      </c>
      <c r="F297" s="101"/>
      <c r="G297" s="6"/>
      <c r="H297" s="7"/>
    </row>
    <row r="298" spans="2:8" hidden="1" outlineLevel="2" x14ac:dyDescent="0.25">
      <c r="B298" s="130"/>
      <c r="C298" s="141"/>
      <c r="D298" s="59" t="s">
        <v>175</v>
      </c>
      <c r="E298" s="60">
        <v>60.69</v>
      </c>
      <c r="F298" s="101"/>
      <c r="G298" s="6"/>
      <c r="H298" s="7"/>
    </row>
    <row r="299" spans="2:8" hidden="1" outlineLevel="2" x14ac:dyDescent="0.25">
      <c r="B299" s="130"/>
      <c r="C299" s="141"/>
      <c r="D299" s="56" t="s">
        <v>176</v>
      </c>
      <c r="E299" s="57">
        <v>54.25</v>
      </c>
      <c r="F299" s="101"/>
      <c r="G299" s="6"/>
      <c r="H299" s="7"/>
    </row>
    <row r="300" spans="2:8" hidden="1" outlineLevel="2" x14ac:dyDescent="0.25">
      <c r="B300" s="130"/>
      <c r="C300" s="141"/>
      <c r="D300" s="58" t="s">
        <v>166</v>
      </c>
      <c r="E300" s="25">
        <v>175.93</v>
      </c>
      <c r="F300" s="101"/>
      <c r="G300" s="6"/>
      <c r="H300" s="7"/>
    </row>
    <row r="301" spans="2:8" hidden="1" outlineLevel="2" x14ac:dyDescent="0.25">
      <c r="B301" s="130"/>
      <c r="C301" s="141"/>
      <c r="D301" s="58" t="s">
        <v>157</v>
      </c>
      <c r="E301" s="25">
        <v>115.28</v>
      </c>
      <c r="F301" s="101"/>
      <c r="G301" s="6"/>
      <c r="H301" s="7"/>
    </row>
    <row r="302" spans="2:8" hidden="1" outlineLevel="2" x14ac:dyDescent="0.25">
      <c r="B302" s="130"/>
      <c r="C302" s="141"/>
      <c r="D302" s="61" t="s">
        <v>177</v>
      </c>
      <c r="E302" s="57">
        <v>110</v>
      </c>
      <c r="F302" s="101"/>
      <c r="G302" s="6"/>
      <c r="H302" s="7"/>
    </row>
    <row r="303" spans="2:8" hidden="1" outlineLevel="2" x14ac:dyDescent="0.25">
      <c r="B303" s="130"/>
      <c r="C303" s="141"/>
      <c r="D303" s="61" t="s">
        <v>178</v>
      </c>
      <c r="E303" s="57">
        <v>52.78</v>
      </c>
      <c r="F303" s="101"/>
      <c r="G303" s="6"/>
      <c r="H303" s="7"/>
    </row>
    <row r="304" spans="2:8" hidden="1" outlineLevel="2" x14ac:dyDescent="0.25">
      <c r="B304" s="130"/>
      <c r="C304" s="141"/>
      <c r="D304" s="108"/>
      <c r="E304" s="104"/>
      <c r="F304" s="101"/>
      <c r="G304" s="6"/>
      <c r="H304" s="7"/>
    </row>
    <row r="305" spans="2:10" hidden="1" outlineLevel="2" x14ac:dyDescent="0.3">
      <c r="B305" s="130"/>
      <c r="C305" s="141"/>
      <c r="D305" s="109"/>
      <c r="E305" s="110"/>
      <c r="F305" s="101"/>
      <c r="G305" s="6"/>
      <c r="H305" s="7"/>
    </row>
    <row r="306" spans="2:10" hidden="1" outlineLevel="2" x14ac:dyDescent="0.3">
      <c r="B306" s="130"/>
      <c r="C306" s="141"/>
      <c r="D306" s="109"/>
      <c r="E306" s="110"/>
      <c r="F306" s="101"/>
      <c r="G306" s="6"/>
      <c r="H306" s="7"/>
    </row>
    <row r="307" spans="2:10" hidden="1" outlineLevel="2" x14ac:dyDescent="0.25">
      <c r="B307" s="130"/>
      <c r="C307" s="141"/>
      <c r="D307" s="54"/>
      <c r="E307" s="25"/>
      <c r="F307" s="101"/>
      <c r="G307" s="6"/>
      <c r="H307" s="7"/>
    </row>
    <row r="308" spans="2:10" hidden="1" outlineLevel="2" x14ac:dyDescent="0.3">
      <c r="B308" s="130"/>
      <c r="C308" s="141"/>
      <c r="D308" s="54"/>
      <c r="E308" s="64"/>
      <c r="F308" s="101"/>
      <c r="G308" s="6"/>
      <c r="H308" s="7"/>
    </row>
    <row r="309" spans="2:10" ht="14.4" hidden="1" outlineLevel="1" thickBot="1" x14ac:dyDescent="0.35">
      <c r="B309" s="130"/>
      <c r="C309" s="142"/>
      <c r="D309" s="11"/>
      <c r="E309" s="17">
        <f>E294+E269</f>
        <v>3182.0699999999997</v>
      </c>
      <c r="F309" s="80">
        <f>E309*100/$E$107*0.01</f>
        <v>0.15192003701000065</v>
      </c>
      <c r="G309" s="12">
        <f>G269+G294</f>
        <v>0.08</v>
      </c>
      <c r="H309" s="71">
        <f>H294+H269</f>
        <v>1140</v>
      </c>
    </row>
    <row r="310" spans="2:10" ht="14.4" hidden="1" outlineLevel="1" thickTop="1" x14ac:dyDescent="0.3">
      <c r="B310" s="130"/>
      <c r="C310" s="143" t="s">
        <v>61</v>
      </c>
      <c r="D310" s="13" t="s">
        <v>20</v>
      </c>
      <c r="E310" s="14"/>
      <c r="F310" s="74">
        <f>E310*100/$E$258*0.01</f>
        <v>0</v>
      </c>
      <c r="G310" s="15">
        <v>0.05</v>
      </c>
      <c r="H310" s="72">
        <v>1200</v>
      </c>
    </row>
    <row r="311" spans="2:10" hidden="1" outlineLevel="1" x14ac:dyDescent="0.3">
      <c r="B311" s="130"/>
      <c r="C311" s="144"/>
      <c r="D311" s="1" t="s">
        <v>21</v>
      </c>
      <c r="E311" s="5"/>
      <c r="F311" s="74">
        <f t="shared" ref="F311:F316" si="13">E311*100/$E$258*0.01</f>
        <v>0</v>
      </c>
      <c r="G311" s="3">
        <v>0.02</v>
      </c>
      <c r="H311" s="7">
        <v>500</v>
      </c>
    </row>
    <row r="312" spans="2:10" hidden="1" outlineLevel="1" x14ac:dyDescent="0.3">
      <c r="B312" s="130"/>
      <c r="C312" s="144"/>
      <c r="D312" s="1" t="s">
        <v>22</v>
      </c>
      <c r="E312" s="5"/>
      <c r="F312" s="74">
        <f>E312*100/$E$258*0.01</f>
        <v>0</v>
      </c>
      <c r="G312" s="3">
        <v>0.02</v>
      </c>
      <c r="H312" s="7">
        <v>350</v>
      </c>
    </row>
    <row r="313" spans="2:10" hidden="1" outlineLevel="1" x14ac:dyDescent="0.3">
      <c r="B313" s="130"/>
      <c r="C313" s="144"/>
      <c r="D313" s="1" t="s">
        <v>23</v>
      </c>
      <c r="E313" s="5"/>
      <c r="F313" s="74">
        <f t="shared" si="13"/>
        <v>0</v>
      </c>
      <c r="G313" s="3">
        <v>0.01</v>
      </c>
      <c r="H313" s="7">
        <v>300</v>
      </c>
    </row>
    <row r="314" spans="2:10" hidden="1" outlineLevel="1" x14ac:dyDescent="0.3">
      <c r="B314" s="130"/>
      <c r="C314" s="144"/>
      <c r="D314" s="1" t="s">
        <v>24</v>
      </c>
      <c r="E314" s="5"/>
      <c r="F314" s="74">
        <f t="shared" si="13"/>
        <v>0</v>
      </c>
      <c r="G314" s="3">
        <v>0.01</v>
      </c>
      <c r="H314" s="7">
        <v>150</v>
      </c>
    </row>
    <row r="315" spans="2:10" hidden="1" outlineLevel="1" x14ac:dyDescent="0.3">
      <c r="B315" s="130"/>
      <c r="C315" s="144"/>
      <c r="D315" s="1" t="s">
        <v>128</v>
      </c>
      <c r="E315" s="5"/>
      <c r="F315" s="74">
        <f t="shared" si="13"/>
        <v>0</v>
      </c>
      <c r="G315" s="3">
        <v>0.01</v>
      </c>
      <c r="H315" s="7">
        <v>150</v>
      </c>
    </row>
    <row r="316" spans="2:10" hidden="1" outlineLevel="1" x14ac:dyDescent="0.3">
      <c r="B316" s="130"/>
      <c r="C316" s="144"/>
      <c r="D316" s="1" t="s">
        <v>19</v>
      </c>
      <c r="E316" s="5"/>
      <c r="F316" s="74">
        <f t="shared" si="13"/>
        <v>0</v>
      </c>
      <c r="G316" s="3">
        <v>0.02</v>
      </c>
      <c r="H316" s="7">
        <v>500</v>
      </c>
    </row>
    <row r="317" spans="2:10" ht="14.4" hidden="1" outlineLevel="1" thickBot="1" x14ac:dyDescent="0.35">
      <c r="B317" s="130"/>
      <c r="C317" s="144"/>
      <c r="D317" s="11" t="s">
        <v>16</v>
      </c>
      <c r="E317" s="9">
        <f>SUM(E310:E316)</f>
        <v>0</v>
      </c>
      <c r="F317" s="80">
        <f>E317*100/$E$258*0.01</f>
        <v>0</v>
      </c>
      <c r="G317" s="10">
        <v>0.2</v>
      </c>
      <c r="H317" s="71">
        <f>SUM(H310:H316)</f>
        <v>3150</v>
      </c>
    </row>
    <row r="318" spans="2:10" ht="15" hidden="1" outlineLevel="1" thickTop="1" thickBot="1" x14ac:dyDescent="0.35">
      <c r="B318" s="131"/>
      <c r="C318" s="42"/>
      <c r="D318" s="42"/>
      <c r="E318" s="43" t="s">
        <v>78</v>
      </c>
      <c r="F318" s="83">
        <f>SUM(F317,F309,F268)</f>
        <v>0.80942562360217951</v>
      </c>
      <c r="G318" s="66"/>
      <c r="H318" s="73"/>
      <c r="J318" s="31" t="s">
        <v>72</v>
      </c>
    </row>
    <row r="319" spans="2:10" collapsed="1" x14ac:dyDescent="0.3">
      <c r="B319" s="84" t="s">
        <v>180</v>
      </c>
      <c r="C319" s="85"/>
      <c r="D319" s="85"/>
      <c r="E319" s="40"/>
      <c r="F319" s="77"/>
      <c r="G319" s="86"/>
      <c r="H319" s="44"/>
      <c r="J319" s="32">
        <f>E326-E336</f>
        <v>4904.5200000000004</v>
      </c>
    </row>
    <row r="320" spans="2:10" hidden="1" outlineLevel="1" x14ac:dyDescent="0.3">
      <c r="B320" s="130" t="s">
        <v>180</v>
      </c>
      <c r="C320" s="132" t="s">
        <v>6</v>
      </c>
      <c r="D320" s="1" t="s">
        <v>0</v>
      </c>
      <c r="E320" s="5">
        <v>7000</v>
      </c>
      <c r="F320" s="74">
        <f>E320*100/$E$326*0.01</f>
        <v>0.48882681564245806</v>
      </c>
      <c r="H320" s="7"/>
      <c r="J320" s="32"/>
    </row>
    <row r="321" spans="2:10" hidden="1" outlineLevel="1" x14ac:dyDescent="0.3">
      <c r="B321" s="130"/>
      <c r="C321" s="132"/>
      <c r="D321" s="1" t="s">
        <v>8</v>
      </c>
      <c r="E321" s="5">
        <v>1200</v>
      </c>
      <c r="F321" s="74">
        <f t="shared" ref="F321:F325" si="14">E321*100/$E$326*0.01</f>
        <v>8.3798882681564241E-2</v>
      </c>
      <c r="H321" s="7"/>
      <c r="J321" s="33" t="s">
        <v>74</v>
      </c>
    </row>
    <row r="322" spans="2:10" hidden="1" outlineLevel="1" x14ac:dyDescent="0.3">
      <c r="B322" s="130"/>
      <c r="C322" s="132"/>
      <c r="D322" s="1" t="s">
        <v>9</v>
      </c>
      <c r="E322" s="5">
        <v>120</v>
      </c>
      <c r="F322" s="74">
        <f t="shared" si="14"/>
        <v>8.3798882681564244E-3</v>
      </c>
      <c r="H322" s="7"/>
      <c r="J322" s="32">
        <f>E326-(E336+H371)</f>
        <v>3764.5200000000004</v>
      </c>
    </row>
    <row r="323" spans="2:10" hidden="1" outlineLevel="1" x14ac:dyDescent="0.3">
      <c r="B323" s="130"/>
      <c r="C323" s="132"/>
      <c r="D323" s="1" t="s">
        <v>10</v>
      </c>
      <c r="E323" s="5">
        <v>500</v>
      </c>
      <c r="F323" s="74">
        <f t="shared" si="14"/>
        <v>3.4916201117318434E-2</v>
      </c>
      <c r="H323" s="7"/>
      <c r="J323" s="34"/>
    </row>
    <row r="324" spans="2:10" hidden="1" outlineLevel="1" x14ac:dyDescent="0.3">
      <c r="B324" s="130"/>
      <c r="C324" s="132"/>
      <c r="D324" s="1" t="s">
        <v>1</v>
      </c>
      <c r="E324" s="5">
        <v>5500</v>
      </c>
      <c r="F324" s="74">
        <f t="shared" si="14"/>
        <v>0.38407821229050276</v>
      </c>
      <c r="H324" s="7"/>
      <c r="J324" s="35" t="s">
        <v>75</v>
      </c>
    </row>
    <row r="325" spans="2:10" hidden="1" outlineLevel="1" x14ac:dyDescent="0.3">
      <c r="B325" s="130"/>
      <c r="C325" s="132"/>
      <c r="E325" s="5"/>
      <c r="F325" s="74">
        <f t="shared" si="14"/>
        <v>0</v>
      </c>
      <c r="H325" s="7"/>
      <c r="J325" s="32">
        <f>E326-E336-E371-E379</f>
        <v>2102</v>
      </c>
    </row>
    <row r="326" spans="2:10" ht="14.4" hidden="1" outlineLevel="1" thickBot="1" x14ac:dyDescent="0.35">
      <c r="B326" s="130"/>
      <c r="C326" s="133"/>
      <c r="D326" s="8"/>
      <c r="E326" s="9">
        <f>SUM(E320:E325)</f>
        <v>14320</v>
      </c>
      <c r="F326" s="78"/>
      <c r="G326" s="10"/>
      <c r="H326" s="68"/>
      <c r="J326" s="36"/>
    </row>
    <row r="327" spans="2:10" ht="15" hidden="1" outlineLevel="1" thickTop="1" thickBot="1" x14ac:dyDescent="0.35">
      <c r="B327" s="130"/>
      <c r="C327" s="52" t="s">
        <v>77</v>
      </c>
      <c r="D327" s="49" t="s">
        <v>66</v>
      </c>
      <c r="E327" s="50"/>
      <c r="F327" s="79">
        <f>E327*100/$E$326*0.01</f>
        <v>0</v>
      </c>
      <c r="G327" s="51"/>
      <c r="H327" s="69"/>
      <c r="J327" s="37" t="s">
        <v>76</v>
      </c>
    </row>
    <row r="328" spans="2:10" hidden="1" outlineLevel="1" x14ac:dyDescent="0.3">
      <c r="B328" s="130"/>
      <c r="C328" s="134" t="s">
        <v>7</v>
      </c>
      <c r="D328" s="1" t="s">
        <v>2</v>
      </c>
      <c r="E328" s="5">
        <v>4605.3500000000004</v>
      </c>
      <c r="F328" s="74">
        <f>E328*100/$E$326*0.01</f>
        <v>0.32160265363128498</v>
      </c>
      <c r="G328" s="136">
        <v>0.6</v>
      </c>
      <c r="H328" s="138">
        <f>E326*60%</f>
        <v>8592</v>
      </c>
      <c r="J328" s="38">
        <f>SUM(E336,E371,E379)</f>
        <v>12218</v>
      </c>
    </row>
    <row r="329" spans="2:10" hidden="1" outlineLevel="1" x14ac:dyDescent="0.3">
      <c r="B329" s="130"/>
      <c r="C329" s="134"/>
      <c r="D329" s="1" t="s">
        <v>3</v>
      </c>
      <c r="E329" s="5">
        <v>1450</v>
      </c>
      <c r="F329" s="74">
        <f t="shared" ref="F329:F335" si="15">E329*100/$E$326*0.01</f>
        <v>0.10125698324022347</v>
      </c>
      <c r="G329" s="136"/>
      <c r="H329" s="138"/>
    </row>
    <row r="330" spans="2:10" hidden="1" outlineLevel="1" x14ac:dyDescent="0.3">
      <c r="B330" s="130"/>
      <c r="C330" s="134"/>
      <c r="D330" s="1" t="s">
        <v>4</v>
      </c>
      <c r="E330" s="5">
        <v>1333.22</v>
      </c>
      <c r="F330" s="74">
        <f t="shared" si="15"/>
        <v>9.3101955307262577E-2</v>
      </c>
      <c r="G330" s="136"/>
      <c r="H330" s="138"/>
    </row>
    <row r="331" spans="2:10" hidden="1" outlineLevel="1" x14ac:dyDescent="0.3">
      <c r="B331" s="130"/>
      <c r="C331" s="134"/>
      <c r="D331" s="1" t="s">
        <v>19</v>
      </c>
      <c r="E331" s="5">
        <v>1000</v>
      </c>
      <c r="F331" s="74">
        <f t="shared" si="15"/>
        <v>6.9832402234636867E-2</v>
      </c>
      <c r="G331" s="136"/>
      <c r="H331" s="138"/>
    </row>
    <row r="332" spans="2:10" hidden="1" outlineLevel="1" x14ac:dyDescent="0.3">
      <c r="B332" s="130"/>
      <c r="C332" s="134"/>
      <c r="D332" s="1" t="s">
        <v>11</v>
      </c>
      <c r="E332" s="5">
        <v>110</v>
      </c>
      <c r="F332" s="74">
        <f t="shared" si="15"/>
        <v>7.6815642458100564E-3</v>
      </c>
      <c r="G332" s="136"/>
      <c r="H332" s="138"/>
    </row>
    <row r="333" spans="2:10" hidden="1" outlineLevel="1" x14ac:dyDescent="0.3">
      <c r="B333" s="130"/>
      <c r="C333" s="134"/>
      <c r="D333" s="1" t="s">
        <v>12</v>
      </c>
      <c r="E333" s="5">
        <v>400</v>
      </c>
      <c r="F333" s="74">
        <f t="shared" si="15"/>
        <v>2.7932960893854747E-2</v>
      </c>
      <c r="G333" s="136"/>
      <c r="H333" s="138"/>
    </row>
    <row r="334" spans="2:10" hidden="1" outlineLevel="1" x14ac:dyDescent="0.3">
      <c r="B334" s="130"/>
      <c r="C334" s="134"/>
      <c r="D334" s="1" t="s">
        <v>13</v>
      </c>
      <c r="E334" s="5">
        <v>316.91000000000003</v>
      </c>
      <c r="F334" s="74">
        <f t="shared" si="15"/>
        <v>2.2130586592178775E-2</v>
      </c>
      <c r="G334" s="136"/>
      <c r="H334" s="138"/>
      <c r="J334" s="18"/>
    </row>
    <row r="335" spans="2:10" hidden="1" outlineLevel="1" x14ac:dyDescent="0.3">
      <c r="B335" s="130"/>
      <c r="C335" s="134"/>
      <c r="D335" s="1" t="s">
        <v>5</v>
      </c>
      <c r="E335" s="5">
        <v>200</v>
      </c>
      <c r="F335" s="74">
        <f t="shared" si="15"/>
        <v>1.3966480446927373E-2</v>
      </c>
      <c r="G335" s="136"/>
      <c r="H335" s="138"/>
      <c r="J335" s="18"/>
    </row>
    <row r="336" spans="2:10" ht="14.4" hidden="1" outlineLevel="1" thickBot="1" x14ac:dyDescent="0.35">
      <c r="B336" s="130"/>
      <c r="C336" s="135"/>
      <c r="D336" s="11"/>
      <c r="E336" s="9">
        <f>SUM(E328:E335)</f>
        <v>9415.48</v>
      </c>
      <c r="F336" s="80">
        <f>SUM(F328:F335)</f>
        <v>0.65750558659217884</v>
      </c>
      <c r="G336" s="137"/>
      <c r="H336" s="139"/>
    </row>
    <row r="337" spans="2:8" ht="18" hidden="1" customHeight="1" outlineLevel="1" collapsed="1" thickTop="1" x14ac:dyDescent="0.3">
      <c r="B337" s="130"/>
      <c r="C337" s="140" t="s">
        <v>60</v>
      </c>
      <c r="D337" s="13" t="s">
        <v>14</v>
      </c>
      <c r="E337" s="14">
        <f>SUM(E338:E357)</f>
        <v>1865.3000000000002</v>
      </c>
      <c r="F337" s="74">
        <f>E337*100/$E$326*0.01</f>
        <v>0.13025837988826816</v>
      </c>
      <c r="G337" s="15">
        <v>0.04</v>
      </c>
      <c r="H337" s="72">
        <v>570</v>
      </c>
    </row>
    <row r="338" spans="2:8" hidden="1" outlineLevel="2" x14ac:dyDescent="0.25">
      <c r="B338" s="130"/>
      <c r="C338" s="141"/>
      <c r="D338" s="24" t="s">
        <v>181</v>
      </c>
      <c r="E338" s="53">
        <v>290.95999999999998</v>
      </c>
      <c r="F338" s="74">
        <f t="shared" ref="F338:F358" si="16">E338*100/$E$326*0.01</f>
        <v>2.0318435754189942E-2</v>
      </c>
      <c r="H338" s="7"/>
    </row>
    <row r="339" spans="2:8" hidden="1" outlineLevel="2" x14ac:dyDescent="0.25">
      <c r="B339" s="130"/>
      <c r="C339" s="141"/>
      <c r="D339" s="24" t="s">
        <v>182</v>
      </c>
      <c r="E339" s="53">
        <v>121.21</v>
      </c>
      <c r="F339" s="74">
        <f t="shared" si="16"/>
        <v>8.4643854748603347E-3</v>
      </c>
      <c r="H339" s="7"/>
    </row>
    <row r="340" spans="2:8" hidden="1" outlineLevel="2" x14ac:dyDescent="0.25">
      <c r="B340" s="130"/>
      <c r="C340" s="141"/>
      <c r="D340" s="24" t="s">
        <v>183</v>
      </c>
      <c r="E340" s="53">
        <v>81.48</v>
      </c>
      <c r="F340" s="74">
        <f t="shared" si="16"/>
        <v>5.6899441340782118E-3</v>
      </c>
      <c r="H340" s="7"/>
    </row>
    <row r="341" spans="2:8" hidden="1" outlineLevel="2" x14ac:dyDescent="0.25">
      <c r="B341" s="130"/>
      <c r="C341" s="141"/>
      <c r="D341" s="99" t="s">
        <v>184</v>
      </c>
      <c r="E341" s="100">
        <v>280.20999999999998</v>
      </c>
      <c r="F341" s="74">
        <f t="shared" si="16"/>
        <v>1.9567737430167594E-2</v>
      </c>
      <c r="H341" s="7"/>
    </row>
    <row r="342" spans="2:8" hidden="1" outlineLevel="2" x14ac:dyDescent="0.25">
      <c r="B342" s="130"/>
      <c r="C342" s="141"/>
      <c r="D342" s="24" t="s">
        <v>185</v>
      </c>
      <c r="E342" s="53">
        <v>156.65</v>
      </c>
      <c r="F342" s="74">
        <f t="shared" si="16"/>
        <v>1.0939245810055866E-2</v>
      </c>
      <c r="H342" s="7"/>
    </row>
    <row r="343" spans="2:8" hidden="1" outlineLevel="2" x14ac:dyDescent="0.25">
      <c r="B343" s="130"/>
      <c r="C343" s="141"/>
      <c r="D343" s="24" t="s">
        <v>186</v>
      </c>
      <c r="E343" s="53">
        <v>52.33</v>
      </c>
      <c r="F343" s="74">
        <f t="shared" si="16"/>
        <v>3.6543296089385476E-3</v>
      </c>
      <c r="H343" s="7"/>
    </row>
    <row r="344" spans="2:8" hidden="1" outlineLevel="2" x14ac:dyDescent="0.25">
      <c r="B344" s="130"/>
      <c r="C344" s="141"/>
      <c r="D344" s="24" t="s">
        <v>187</v>
      </c>
      <c r="E344" s="53">
        <v>121.53</v>
      </c>
      <c r="F344" s="74">
        <f t="shared" si="16"/>
        <v>8.4867318435754187E-3</v>
      </c>
      <c r="H344" s="7"/>
    </row>
    <row r="345" spans="2:8" hidden="1" outlineLevel="2" x14ac:dyDescent="0.25">
      <c r="B345" s="130"/>
      <c r="C345" s="141"/>
      <c r="D345" s="24" t="s">
        <v>188</v>
      </c>
      <c r="E345" s="53">
        <v>29.66</v>
      </c>
      <c r="F345" s="74">
        <f t="shared" si="16"/>
        <v>2.0712290502793297E-3</v>
      </c>
      <c r="H345" s="7"/>
    </row>
    <row r="346" spans="2:8" hidden="1" outlineLevel="2" x14ac:dyDescent="0.25">
      <c r="B346" s="130"/>
      <c r="C346" s="141"/>
      <c r="D346" s="24" t="s">
        <v>189</v>
      </c>
      <c r="E346" s="53">
        <v>175.93</v>
      </c>
      <c r="F346" s="74">
        <f t="shared" si="16"/>
        <v>1.2285614525139666E-2</v>
      </c>
      <c r="H346" s="7"/>
    </row>
    <row r="347" spans="2:8" hidden="1" outlineLevel="2" x14ac:dyDescent="0.25">
      <c r="B347" s="130"/>
      <c r="C347" s="141"/>
      <c r="D347" s="106" t="s">
        <v>190</v>
      </c>
      <c r="E347" s="100">
        <v>281.92</v>
      </c>
      <c r="F347" s="74">
        <f t="shared" si="16"/>
        <v>1.9687150837988828E-2</v>
      </c>
      <c r="H347" s="7"/>
    </row>
    <row r="348" spans="2:8" hidden="1" outlineLevel="2" x14ac:dyDescent="0.3">
      <c r="B348" s="130"/>
      <c r="C348" s="141"/>
      <c r="D348" s="106" t="s">
        <v>191</v>
      </c>
      <c r="E348" s="107">
        <v>55.56</v>
      </c>
      <c r="F348" s="74">
        <f t="shared" si="16"/>
        <v>3.8798882681564248E-3</v>
      </c>
      <c r="H348" s="7"/>
    </row>
    <row r="349" spans="2:8" hidden="1" outlineLevel="2" x14ac:dyDescent="0.3">
      <c r="B349" s="130"/>
      <c r="C349" s="141"/>
      <c r="D349" s="54" t="s">
        <v>192</v>
      </c>
      <c r="E349" s="55">
        <v>41.63</v>
      </c>
      <c r="F349" s="74">
        <f t="shared" si="16"/>
        <v>2.9071229050279331E-3</v>
      </c>
      <c r="H349" s="7"/>
    </row>
    <row r="350" spans="2:8" hidden="1" outlineLevel="2" x14ac:dyDescent="0.3">
      <c r="B350" s="130"/>
      <c r="C350" s="141"/>
      <c r="D350" s="54" t="s">
        <v>193</v>
      </c>
      <c r="E350" s="55">
        <v>89.06</v>
      </c>
      <c r="F350" s="74">
        <f t="shared" si="16"/>
        <v>6.2192737430167601E-3</v>
      </c>
      <c r="H350" s="7"/>
    </row>
    <row r="351" spans="2:8" hidden="1" outlineLevel="2" x14ac:dyDescent="0.3">
      <c r="B351" s="130"/>
      <c r="C351" s="141"/>
      <c r="D351" s="54" t="s">
        <v>194</v>
      </c>
      <c r="E351" s="55">
        <v>23.76</v>
      </c>
      <c r="F351" s="74">
        <f t="shared" si="16"/>
        <v>1.6592178770949721E-3</v>
      </c>
      <c r="H351" s="7"/>
    </row>
    <row r="352" spans="2:8" hidden="1" outlineLevel="2" x14ac:dyDescent="0.3">
      <c r="B352" s="130"/>
      <c r="C352" s="141"/>
      <c r="D352" s="54" t="s">
        <v>195</v>
      </c>
      <c r="E352" s="55">
        <v>36.659999999999997</v>
      </c>
      <c r="F352" s="74">
        <f t="shared" si="16"/>
        <v>2.5600558659217877E-3</v>
      </c>
      <c r="H352" s="7"/>
    </row>
    <row r="353" spans="2:8" hidden="1" outlineLevel="2" x14ac:dyDescent="0.3">
      <c r="B353" s="130"/>
      <c r="C353" s="141"/>
      <c r="D353" s="54" t="s">
        <v>195</v>
      </c>
      <c r="E353" s="55">
        <v>26.75</v>
      </c>
      <c r="F353" s="74">
        <f t="shared" si="16"/>
        <v>1.8680167597765363E-3</v>
      </c>
      <c r="H353" s="7"/>
    </row>
    <row r="354" spans="2:8" hidden="1" outlineLevel="2" x14ac:dyDescent="0.3">
      <c r="B354" s="130"/>
      <c r="C354" s="141"/>
      <c r="F354" s="74">
        <f t="shared" si="16"/>
        <v>0</v>
      </c>
      <c r="H354" s="7"/>
    </row>
    <row r="355" spans="2:8" hidden="1" outlineLevel="2" x14ac:dyDescent="0.3">
      <c r="B355" s="130"/>
      <c r="C355" s="141"/>
      <c r="F355" s="74">
        <f t="shared" si="16"/>
        <v>0</v>
      </c>
      <c r="H355" s="7"/>
    </row>
    <row r="356" spans="2:8" hidden="1" outlineLevel="2" x14ac:dyDescent="0.3">
      <c r="B356" s="130"/>
      <c r="C356" s="141"/>
      <c r="F356" s="74">
        <f t="shared" si="16"/>
        <v>0</v>
      </c>
      <c r="H356" s="7"/>
    </row>
    <row r="357" spans="2:8" ht="2.5499999999999998" hidden="1" customHeight="1" outlineLevel="2" x14ac:dyDescent="0.3">
      <c r="B357" s="130"/>
      <c r="C357" s="141"/>
      <c r="F357" s="74">
        <f t="shared" si="16"/>
        <v>0</v>
      </c>
      <c r="H357" s="7"/>
    </row>
    <row r="358" spans="2:8" hidden="1" outlineLevel="1" collapsed="1" x14ac:dyDescent="0.3">
      <c r="B358" s="130"/>
      <c r="C358" s="141"/>
      <c r="D358" s="1" t="s">
        <v>15</v>
      </c>
      <c r="E358" s="16">
        <f>SUM(E359:E370)</f>
        <v>937.22</v>
      </c>
      <c r="F358" s="74">
        <f t="shared" si="16"/>
        <v>6.5448324022346377E-2</v>
      </c>
      <c r="G358" s="6">
        <v>0.04</v>
      </c>
      <c r="H358" s="7">
        <v>570</v>
      </c>
    </row>
    <row r="359" spans="2:8" hidden="1" outlineLevel="2" x14ac:dyDescent="0.25">
      <c r="B359" s="130"/>
      <c r="C359" s="141"/>
      <c r="D359" s="56" t="s">
        <v>158</v>
      </c>
      <c r="E359" s="57">
        <v>89.51</v>
      </c>
      <c r="F359" s="101"/>
      <c r="G359" s="6"/>
      <c r="H359" s="7"/>
    </row>
    <row r="360" spans="2:8" hidden="1" outlineLevel="2" x14ac:dyDescent="0.25">
      <c r="B360" s="130"/>
      <c r="C360" s="141"/>
      <c r="D360" s="56" t="s">
        <v>196</v>
      </c>
      <c r="E360" s="57">
        <v>49.47</v>
      </c>
      <c r="F360" s="101"/>
      <c r="G360" s="6"/>
      <c r="H360" s="7"/>
    </row>
    <row r="361" spans="2:8" hidden="1" outlineLevel="2" x14ac:dyDescent="0.25">
      <c r="B361" s="130"/>
      <c r="C361" s="141"/>
      <c r="D361" s="58" t="s">
        <v>181</v>
      </c>
      <c r="E361" s="25">
        <v>290</v>
      </c>
      <c r="F361" s="101"/>
      <c r="G361" s="6"/>
      <c r="H361" s="7"/>
    </row>
    <row r="362" spans="2:8" hidden="1" outlineLevel="2" x14ac:dyDescent="0.25">
      <c r="B362" s="130"/>
      <c r="C362" s="141"/>
      <c r="D362" s="56" t="s">
        <v>197</v>
      </c>
      <c r="E362" s="57">
        <v>54.25</v>
      </c>
      <c r="F362" s="101"/>
      <c r="G362" s="6"/>
      <c r="H362" s="7"/>
    </row>
    <row r="363" spans="2:8" hidden="1" outlineLevel="2" x14ac:dyDescent="0.25">
      <c r="B363" s="130"/>
      <c r="C363" s="141"/>
      <c r="D363" s="58" t="s">
        <v>189</v>
      </c>
      <c r="E363" s="25">
        <v>175.93</v>
      </c>
      <c r="F363" s="101"/>
      <c r="G363" s="6"/>
      <c r="H363" s="7"/>
    </row>
    <row r="364" spans="2:8" hidden="1" outlineLevel="2" x14ac:dyDescent="0.25">
      <c r="B364" s="130"/>
      <c r="C364" s="141"/>
      <c r="D364" s="58" t="s">
        <v>182</v>
      </c>
      <c r="E364" s="25">
        <v>115.28</v>
      </c>
      <c r="F364" s="101"/>
      <c r="G364" s="6"/>
      <c r="H364" s="7"/>
    </row>
    <row r="365" spans="2:8" hidden="1" outlineLevel="2" x14ac:dyDescent="0.25">
      <c r="B365" s="130"/>
      <c r="C365" s="141"/>
      <c r="D365" s="61" t="s">
        <v>198</v>
      </c>
      <c r="E365" s="57">
        <v>110</v>
      </c>
      <c r="F365" s="101"/>
      <c r="G365" s="6"/>
      <c r="H365" s="7"/>
    </row>
    <row r="366" spans="2:8" hidden="1" outlineLevel="2" x14ac:dyDescent="0.25">
      <c r="B366" s="130"/>
      <c r="C366" s="141"/>
      <c r="D366" s="61" t="s">
        <v>199</v>
      </c>
      <c r="E366" s="57">
        <v>52.78</v>
      </c>
      <c r="F366" s="101"/>
      <c r="G366" s="6"/>
      <c r="H366" s="7"/>
    </row>
    <row r="367" spans="2:8" hidden="1" outlineLevel="2" x14ac:dyDescent="0.3">
      <c r="B367" s="130"/>
      <c r="C367" s="141"/>
      <c r="F367" s="101"/>
      <c r="G367" s="6"/>
      <c r="H367" s="7"/>
    </row>
    <row r="368" spans="2:8" hidden="1" outlineLevel="2" x14ac:dyDescent="0.25">
      <c r="B368" s="130"/>
      <c r="C368" s="141"/>
      <c r="D368" s="108"/>
      <c r="E368" s="104"/>
      <c r="F368" s="101"/>
      <c r="G368" s="6"/>
      <c r="H368" s="7"/>
    </row>
    <row r="369" spans="2:10" hidden="1" outlineLevel="2" x14ac:dyDescent="0.3">
      <c r="B369" s="130"/>
      <c r="C369" s="141"/>
      <c r="D369" s="109"/>
      <c r="E369" s="110"/>
      <c r="F369" s="101"/>
      <c r="G369" s="6"/>
      <c r="H369" s="7"/>
    </row>
    <row r="370" spans="2:10" hidden="1" outlineLevel="2" x14ac:dyDescent="0.3">
      <c r="B370" s="130"/>
      <c r="C370" s="141"/>
      <c r="D370" s="109"/>
      <c r="E370" s="110"/>
      <c r="F370" s="101"/>
      <c r="G370" s="6"/>
      <c r="H370" s="7"/>
    </row>
    <row r="371" spans="2:10" ht="14.4" hidden="1" outlineLevel="1" thickBot="1" x14ac:dyDescent="0.35">
      <c r="B371" s="130"/>
      <c r="C371" s="142"/>
      <c r="D371" s="11"/>
      <c r="E371" s="17">
        <f>E358+E337</f>
        <v>2802.5200000000004</v>
      </c>
      <c r="F371" s="80">
        <f>E371*100/$E$326*0.01</f>
        <v>0.19570670391061457</v>
      </c>
      <c r="G371" s="12">
        <f>G337+G358</f>
        <v>0.08</v>
      </c>
      <c r="H371" s="71">
        <f>H358+H337</f>
        <v>1140</v>
      </c>
    </row>
    <row r="372" spans="2:10" ht="14.4" hidden="1" outlineLevel="1" thickTop="1" x14ac:dyDescent="0.3">
      <c r="B372" s="130"/>
      <c r="C372" s="143" t="s">
        <v>61</v>
      </c>
      <c r="D372" s="13" t="s">
        <v>20</v>
      </c>
      <c r="E372" s="14"/>
      <c r="F372" s="74">
        <f>E372*100/$E$326*0.01</f>
        <v>0</v>
      </c>
      <c r="G372" s="15">
        <v>0.05</v>
      </c>
      <c r="H372" s="72">
        <v>1200</v>
      </c>
    </row>
    <row r="373" spans="2:10" hidden="1" outlineLevel="1" x14ac:dyDescent="0.3">
      <c r="B373" s="130"/>
      <c r="C373" s="144"/>
      <c r="D373" s="1" t="s">
        <v>21</v>
      </c>
      <c r="E373" s="5"/>
      <c r="F373" s="74">
        <f t="shared" ref="F373:F378" si="17">E373*100/$E$326*0.01</f>
        <v>0</v>
      </c>
      <c r="G373" s="3">
        <v>0.02</v>
      </c>
      <c r="H373" s="7">
        <v>500</v>
      </c>
    </row>
    <row r="374" spans="2:10" hidden="1" outlineLevel="1" x14ac:dyDescent="0.3">
      <c r="B374" s="130"/>
      <c r="C374" s="144"/>
      <c r="D374" s="1" t="s">
        <v>22</v>
      </c>
      <c r="E374" s="5"/>
      <c r="F374" s="74">
        <f t="shared" si="17"/>
        <v>0</v>
      </c>
      <c r="G374" s="3">
        <v>0.02</v>
      </c>
      <c r="H374" s="7">
        <v>350</v>
      </c>
    </row>
    <row r="375" spans="2:10" hidden="1" outlineLevel="1" x14ac:dyDescent="0.3">
      <c r="B375" s="130"/>
      <c r="C375" s="144"/>
      <c r="D375" s="1" t="s">
        <v>23</v>
      </c>
      <c r="E375" s="5"/>
      <c r="F375" s="74">
        <f t="shared" si="17"/>
        <v>0</v>
      </c>
      <c r="G375" s="3">
        <v>0.01</v>
      </c>
      <c r="H375" s="7">
        <v>300</v>
      </c>
    </row>
    <row r="376" spans="2:10" hidden="1" outlineLevel="1" x14ac:dyDescent="0.3">
      <c r="B376" s="130"/>
      <c r="C376" s="144"/>
      <c r="D376" s="1" t="s">
        <v>24</v>
      </c>
      <c r="E376" s="5"/>
      <c r="F376" s="74">
        <f t="shared" si="17"/>
        <v>0</v>
      </c>
      <c r="G376" s="3">
        <v>0.01</v>
      </c>
      <c r="H376" s="7">
        <v>150</v>
      </c>
    </row>
    <row r="377" spans="2:10" hidden="1" outlineLevel="1" x14ac:dyDescent="0.3">
      <c r="B377" s="130"/>
      <c r="C377" s="144"/>
      <c r="D377" s="1" t="s">
        <v>128</v>
      </c>
      <c r="E377" s="5"/>
      <c r="F377" s="74">
        <f t="shared" si="17"/>
        <v>0</v>
      </c>
      <c r="G377" s="3">
        <v>0.01</v>
      </c>
      <c r="H377" s="7">
        <v>150</v>
      </c>
    </row>
    <row r="378" spans="2:10" hidden="1" outlineLevel="1" x14ac:dyDescent="0.3">
      <c r="B378" s="130"/>
      <c r="C378" s="144"/>
      <c r="D378" s="1" t="s">
        <v>19</v>
      </c>
      <c r="E378" s="5"/>
      <c r="F378" s="74">
        <f t="shared" si="17"/>
        <v>0</v>
      </c>
      <c r="G378" s="3">
        <v>0.02</v>
      </c>
      <c r="H378" s="7">
        <v>500</v>
      </c>
    </row>
    <row r="379" spans="2:10" ht="14.4" hidden="1" outlineLevel="1" thickBot="1" x14ac:dyDescent="0.35">
      <c r="B379" s="130"/>
      <c r="C379" s="144"/>
      <c r="D379" s="11" t="s">
        <v>16</v>
      </c>
      <c r="E379" s="9">
        <f>SUM(E372:E378)</f>
        <v>0</v>
      </c>
      <c r="F379" s="80">
        <f>E379*100/$E$326*0.01</f>
        <v>0</v>
      </c>
      <c r="G379" s="10">
        <v>0.2</v>
      </c>
      <c r="H379" s="71">
        <f>SUM(H372:H378)</f>
        <v>3150</v>
      </c>
    </row>
    <row r="380" spans="2:10" ht="15" hidden="1" outlineLevel="1" thickTop="1" thickBot="1" x14ac:dyDescent="0.35">
      <c r="B380" s="131"/>
      <c r="C380" s="42"/>
      <c r="D380" s="42"/>
      <c r="E380" s="43" t="s">
        <v>78</v>
      </c>
      <c r="F380" s="83">
        <f>SUM(F379,F371,F336)</f>
        <v>0.85321229050279346</v>
      </c>
      <c r="G380" s="66"/>
      <c r="H380" s="73"/>
      <c r="J380" s="31" t="s">
        <v>72</v>
      </c>
    </row>
    <row r="381" spans="2:10" collapsed="1" x14ac:dyDescent="0.3">
      <c r="B381" s="84" t="s">
        <v>200</v>
      </c>
      <c r="C381" s="85"/>
      <c r="D381" s="85"/>
      <c r="E381" s="40"/>
      <c r="F381" s="77"/>
      <c r="G381" s="86"/>
      <c r="H381" s="44"/>
      <c r="J381" s="32">
        <f>E388-E398</f>
        <v>4904.5200000000004</v>
      </c>
    </row>
    <row r="382" spans="2:10" hidden="1" outlineLevel="1" x14ac:dyDescent="0.3">
      <c r="B382" s="130" t="s">
        <v>200</v>
      </c>
      <c r="C382" s="132" t="s">
        <v>6</v>
      </c>
      <c r="D382" s="1" t="s">
        <v>0</v>
      </c>
      <c r="E382" s="5">
        <v>7000</v>
      </c>
      <c r="F382" s="74">
        <f>E382*100/$E$388*0.01</f>
        <v>0.48882681564245806</v>
      </c>
      <c r="H382" s="7"/>
      <c r="J382" s="32"/>
    </row>
    <row r="383" spans="2:10" hidden="1" outlineLevel="1" x14ac:dyDescent="0.3">
      <c r="B383" s="130"/>
      <c r="C383" s="132"/>
      <c r="D383" s="1" t="s">
        <v>8</v>
      </c>
      <c r="E383" s="5">
        <v>1200</v>
      </c>
      <c r="F383" s="74">
        <f t="shared" ref="F383:F387" si="18">E383*100/$E$388*0.01</f>
        <v>8.3798882681564241E-2</v>
      </c>
      <c r="H383" s="7"/>
      <c r="J383" s="33" t="s">
        <v>74</v>
      </c>
    </row>
    <row r="384" spans="2:10" hidden="1" outlineLevel="1" x14ac:dyDescent="0.3">
      <c r="B384" s="130"/>
      <c r="C384" s="132"/>
      <c r="D384" s="1" t="s">
        <v>9</v>
      </c>
      <c r="E384" s="5">
        <v>120</v>
      </c>
      <c r="F384" s="74">
        <f t="shared" si="18"/>
        <v>8.3798882681564244E-3</v>
      </c>
      <c r="H384" s="7"/>
      <c r="J384" s="32">
        <f>E388-(E398+H433)</f>
        <v>3764.5200000000004</v>
      </c>
    </row>
    <row r="385" spans="2:10" hidden="1" outlineLevel="1" x14ac:dyDescent="0.3">
      <c r="B385" s="130"/>
      <c r="C385" s="132"/>
      <c r="D385" s="1" t="s">
        <v>10</v>
      </c>
      <c r="E385" s="5">
        <v>500</v>
      </c>
      <c r="F385" s="74">
        <f t="shared" si="18"/>
        <v>3.4916201117318434E-2</v>
      </c>
      <c r="H385" s="7"/>
      <c r="J385" s="34"/>
    </row>
    <row r="386" spans="2:10" hidden="1" outlineLevel="1" x14ac:dyDescent="0.3">
      <c r="B386" s="130"/>
      <c r="C386" s="132"/>
      <c r="D386" s="1" t="s">
        <v>1</v>
      </c>
      <c r="E386" s="5">
        <v>5500</v>
      </c>
      <c r="F386" s="74">
        <f t="shared" si="18"/>
        <v>0.38407821229050276</v>
      </c>
      <c r="H386" s="7"/>
      <c r="J386" s="35" t="s">
        <v>75</v>
      </c>
    </row>
    <row r="387" spans="2:10" hidden="1" outlineLevel="1" x14ac:dyDescent="0.3">
      <c r="B387" s="130"/>
      <c r="C387" s="132"/>
      <c r="E387" s="5"/>
      <c r="F387" s="74">
        <f t="shared" si="18"/>
        <v>0</v>
      </c>
      <c r="H387" s="7"/>
      <c r="J387" s="32">
        <f>E388-E398-E433-E441</f>
        <v>2719.6900000000005</v>
      </c>
    </row>
    <row r="388" spans="2:10" ht="14.4" hidden="1" outlineLevel="1" thickBot="1" x14ac:dyDescent="0.35">
      <c r="B388" s="130"/>
      <c r="C388" s="133"/>
      <c r="D388" s="8"/>
      <c r="E388" s="9">
        <f>SUM(E382:E387)</f>
        <v>14320</v>
      </c>
      <c r="F388" s="78"/>
      <c r="G388" s="10"/>
      <c r="H388" s="68"/>
      <c r="J388" s="36"/>
    </row>
    <row r="389" spans="2:10" ht="15" hidden="1" outlineLevel="1" thickTop="1" thickBot="1" x14ac:dyDescent="0.35">
      <c r="B389" s="130"/>
      <c r="C389" s="52" t="s">
        <v>77</v>
      </c>
      <c r="D389" s="49" t="s">
        <v>66</v>
      </c>
      <c r="E389" s="50"/>
      <c r="F389" s="79">
        <f>E389*100/$E$388*0.01</f>
        <v>0</v>
      </c>
      <c r="G389" s="51"/>
      <c r="H389" s="69"/>
      <c r="J389" s="37" t="s">
        <v>76</v>
      </c>
    </row>
    <row r="390" spans="2:10" hidden="1" outlineLevel="1" x14ac:dyDescent="0.3">
      <c r="B390" s="130"/>
      <c r="C390" s="134" t="s">
        <v>7</v>
      </c>
      <c r="D390" s="1" t="s">
        <v>2</v>
      </c>
      <c r="E390" s="5">
        <v>4605.3500000000004</v>
      </c>
      <c r="F390" s="74">
        <f>E390*100/$E$388*0.01</f>
        <v>0.32160265363128498</v>
      </c>
      <c r="G390" s="136">
        <v>0.6</v>
      </c>
      <c r="H390" s="138">
        <f>E388*60%</f>
        <v>8592</v>
      </c>
      <c r="J390" s="38">
        <f>SUM(E398,E433,E441)</f>
        <v>11600.31</v>
      </c>
    </row>
    <row r="391" spans="2:10" hidden="1" outlineLevel="1" x14ac:dyDescent="0.3">
      <c r="B391" s="130"/>
      <c r="C391" s="134"/>
      <c r="D391" s="1" t="s">
        <v>3</v>
      </c>
      <c r="E391" s="5">
        <v>1450</v>
      </c>
      <c r="F391" s="74">
        <f t="shared" ref="F391:F397" si="19">E391*100/$E$388*0.01</f>
        <v>0.10125698324022347</v>
      </c>
      <c r="G391" s="136"/>
      <c r="H391" s="138"/>
    </row>
    <row r="392" spans="2:10" hidden="1" outlineLevel="1" x14ac:dyDescent="0.3">
      <c r="B392" s="130"/>
      <c r="C392" s="134"/>
      <c r="D392" s="1" t="s">
        <v>4</v>
      </c>
      <c r="E392" s="5">
        <v>1333.22</v>
      </c>
      <c r="F392" s="74">
        <f t="shared" si="19"/>
        <v>9.3101955307262577E-2</v>
      </c>
      <c r="G392" s="136"/>
      <c r="H392" s="138"/>
    </row>
    <row r="393" spans="2:10" hidden="1" outlineLevel="1" x14ac:dyDescent="0.3">
      <c r="B393" s="130"/>
      <c r="C393" s="134"/>
      <c r="D393" s="1" t="s">
        <v>19</v>
      </c>
      <c r="E393" s="5">
        <v>1000</v>
      </c>
      <c r="F393" s="74">
        <f t="shared" si="19"/>
        <v>6.9832402234636867E-2</v>
      </c>
      <c r="G393" s="136"/>
      <c r="H393" s="138"/>
    </row>
    <row r="394" spans="2:10" hidden="1" outlineLevel="1" x14ac:dyDescent="0.3">
      <c r="B394" s="130"/>
      <c r="C394" s="134"/>
      <c r="D394" s="1" t="s">
        <v>11</v>
      </c>
      <c r="E394" s="5">
        <v>110</v>
      </c>
      <c r="F394" s="74">
        <f t="shared" si="19"/>
        <v>7.6815642458100564E-3</v>
      </c>
      <c r="G394" s="136"/>
      <c r="H394" s="138"/>
    </row>
    <row r="395" spans="2:10" hidden="1" outlineLevel="1" x14ac:dyDescent="0.3">
      <c r="B395" s="130"/>
      <c r="C395" s="134"/>
      <c r="D395" s="1" t="s">
        <v>12</v>
      </c>
      <c r="E395" s="5">
        <v>400</v>
      </c>
      <c r="F395" s="74">
        <f t="shared" si="19"/>
        <v>2.7932960893854747E-2</v>
      </c>
      <c r="G395" s="136"/>
      <c r="H395" s="138"/>
    </row>
    <row r="396" spans="2:10" hidden="1" outlineLevel="1" x14ac:dyDescent="0.3">
      <c r="B396" s="130"/>
      <c r="C396" s="134"/>
      <c r="D396" s="1" t="s">
        <v>13</v>
      </c>
      <c r="E396" s="5">
        <v>316.91000000000003</v>
      </c>
      <c r="F396" s="74">
        <f t="shared" si="19"/>
        <v>2.2130586592178775E-2</v>
      </c>
      <c r="G396" s="136"/>
      <c r="H396" s="138"/>
      <c r="J396" s="18"/>
    </row>
    <row r="397" spans="2:10" hidden="1" outlineLevel="1" x14ac:dyDescent="0.3">
      <c r="B397" s="130"/>
      <c r="C397" s="134"/>
      <c r="D397" s="1" t="s">
        <v>5</v>
      </c>
      <c r="E397" s="5">
        <v>200</v>
      </c>
      <c r="F397" s="74">
        <f t="shared" si="19"/>
        <v>1.3966480446927373E-2</v>
      </c>
      <c r="G397" s="136"/>
      <c r="H397" s="138"/>
    </row>
    <row r="398" spans="2:10" ht="14.4" hidden="1" outlineLevel="1" thickBot="1" x14ac:dyDescent="0.35">
      <c r="B398" s="130"/>
      <c r="C398" s="135"/>
      <c r="D398" s="11"/>
      <c r="E398" s="9">
        <f>SUM(E390:E397)</f>
        <v>9415.48</v>
      </c>
      <c r="F398" s="80">
        <f>SUM(F390:F397)</f>
        <v>0.65750558659217884</v>
      </c>
      <c r="G398" s="137"/>
      <c r="H398" s="139"/>
    </row>
    <row r="399" spans="2:10" ht="21" hidden="1" customHeight="1" outlineLevel="1" collapsed="1" thickTop="1" x14ac:dyDescent="0.3">
      <c r="B399" s="130"/>
      <c r="C399" s="140" t="s">
        <v>60</v>
      </c>
      <c r="D399" s="13" t="s">
        <v>14</v>
      </c>
      <c r="E399" s="14">
        <f>SUM(E400:E419)</f>
        <v>1247.6100000000001</v>
      </c>
      <c r="F399" s="74">
        <f>E399*100/$E$388*0.01</f>
        <v>8.712360335195532E-2</v>
      </c>
      <c r="G399" s="15">
        <v>0.04</v>
      </c>
      <c r="H399" s="72">
        <v>570</v>
      </c>
    </row>
    <row r="400" spans="2:10" hidden="1" outlineLevel="2" x14ac:dyDescent="0.25">
      <c r="B400" s="130"/>
      <c r="C400" s="141"/>
      <c r="D400" s="24" t="s">
        <v>201</v>
      </c>
      <c r="E400" s="53">
        <v>290.95999999999998</v>
      </c>
      <c r="F400" s="74">
        <f t="shared" ref="F400:F420" si="20">E400*100/$E$388*0.01</f>
        <v>2.0318435754189942E-2</v>
      </c>
      <c r="H400" s="7"/>
    </row>
    <row r="401" spans="2:8" hidden="1" outlineLevel="2" x14ac:dyDescent="0.25">
      <c r="B401" s="130"/>
      <c r="C401" s="141"/>
      <c r="D401" s="24" t="s">
        <v>202</v>
      </c>
      <c r="E401" s="53">
        <v>121.21</v>
      </c>
      <c r="F401" s="74">
        <f t="shared" si="20"/>
        <v>8.4643854748603347E-3</v>
      </c>
      <c r="H401" s="7"/>
    </row>
    <row r="402" spans="2:8" hidden="1" outlineLevel="2" x14ac:dyDescent="0.25">
      <c r="B402" s="130"/>
      <c r="C402" s="141"/>
      <c r="D402" s="24" t="s">
        <v>203</v>
      </c>
      <c r="E402" s="53">
        <v>81.48</v>
      </c>
      <c r="F402" s="74">
        <f t="shared" si="20"/>
        <v>5.6899441340782118E-3</v>
      </c>
      <c r="H402" s="7"/>
    </row>
    <row r="403" spans="2:8" hidden="1" outlineLevel="2" x14ac:dyDescent="0.25">
      <c r="B403" s="130"/>
      <c r="C403" s="141"/>
      <c r="D403" s="99" t="s">
        <v>204</v>
      </c>
      <c r="E403" s="100">
        <v>156.65</v>
      </c>
      <c r="F403" s="74">
        <f t="shared" si="20"/>
        <v>1.0939245810055866E-2</v>
      </c>
      <c r="H403" s="7"/>
    </row>
    <row r="404" spans="2:8" hidden="1" outlineLevel="2" x14ac:dyDescent="0.25">
      <c r="B404" s="130"/>
      <c r="C404" s="141"/>
      <c r="D404" s="24" t="s">
        <v>205</v>
      </c>
      <c r="E404" s="53">
        <v>52.33</v>
      </c>
      <c r="F404" s="74">
        <f t="shared" si="20"/>
        <v>3.6543296089385476E-3</v>
      </c>
      <c r="H404" s="7"/>
    </row>
    <row r="405" spans="2:8" hidden="1" outlineLevel="2" x14ac:dyDescent="0.25">
      <c r="B405" s="130"/>
      <c r="C405" s="141"/>
      <c r="D405" s="24" t="s">
        <v>206</v>
      </c>
      <c r="E405" s="53">
        <v>121.53</v>
      </c>
      <c r="F405" s="74">
        <f t="shared" si="20"/>
        <v>8.4867318435754187E-3</v>
      </c>
      <c r="H405" s="7"/>
    </row>
    <row r="406" spans="2:8" hidden="1" outlineLevel="2" x14ac:dyDescent="0.25">
      <c r="B406" s="130"/>
      <c r="C406" s="141"/>
      <c r="D406" s="24" t="s">
        <v>207</v>
      </c>
      <c r="E406" s="53">
        <v>29.66</v>
      </c>
      <c r="F406" s="74">
        <f t="shared" si="20"/>
        <v>2.0712290502793297E-3</v>
      </c>
      <c r="H406" s="7"/>
    </row>
    <row r="407" spans="2:8" hidden="1" outlineLevel="2" x14ac:dyDescent="0.25">
      <c r="B407" s="130"/>
      <c r="C407" s="141"/>
      <c r="D407" s="24" t="s">
        <v>208</v>
      </c>
      <c r="E407" s="53">
        <v>175.93</v>
      </c>
      <c r="F407" s="74">
        <f t="shared" si="20"/>
        <v>1.2285614525139666E-2</v>
      </c>
      <c r="H407" s="7"/>
    </row>
    <row r="408" spans="2:8" hidden="1" outlineLevel="2" x14ac:dyDescent="0.3">
      <c r="B408" s="130"/>
      <c r="C408" s="141"/>
      <c r="D408" s="54" t="s">
        <v>209</v>
      </c>
      <c r="E408" s="55">
        <v>41.63</v>
      </c>
      <c r="F408" s="74">
        <f t="shared" si="20"/>
        <v>2.9071229050279331E-3</v>
      </c>
      <c r="H408" s="7"/>
    </row>
    <row r="409" spans="2:8" hidden="1" outlineLevel="2" x14ac:dyDescent="0.3">
      <c r="B409" s="130"/>
      <c r="C409" s="141"/>
      <c r="D409" s="106" t="s">
        <v>210</v>
      </c>
      <c r="E409" s="107">
        <v>89.06</v>
      </c>
      <c r="F409" s="74">
        <f t="shared" si="20"/>
        <v>6.2192737430167601E-3</v>
      </c>
      <c r="H409" s="7"/>
    </row>
    <row r="410" spans="2:8" hidden="1" outlineLevel="2" x14ac:dyDescent="0.3">
      <c r="B410" s="130"/>
      <c r="C410" s="141"/>
      <c r="D410" s="54" t="s">
        <v>211</v>
      </c>
      <c r="E410" s="55">
        <v>23.76</v>
      </c>
      <c r="F410" s="74">
        <f t="shared" si="20"/>
        <v>1.6592178770949721E-3</v>
      </c>
      <c r="H410" s="7"/>
    </row>
    <row r="411" spans="2:8" hidden="1" outlineLevel="2" x14ac:dyDescent="0.3">
      <c r="B411" s="130"/>
      <c r="C411" s="141"/>
      <c r="D411" s="54" t="s">
        <v>212</v>
      </c>
      <c r="E411" s="55">
        <v>36.659999999999997</v>
      </c>
      <c r="F411" s="74">
        <f t="shared" si="20"/>
        <v>2.5600558659217877E-3</v>
      </c>
      <c r="H411" s="7"/>
    </row>
    <row r="412" spans="2:8" hidden="1" outlineLevel="2" x14ac:dyDescent="0.3">
      <c r="B412" s="130"/>
      <c r="C412" s="141"/>
      <c r="D412" s="54" t="s">
        <v>212</v>
      </c>
      <c r="E412" s="55">
        <v>26.75</v>
      </c>
      <c r="F412" s="74">
        <f t="shared" si="20"/>
        <v>1.8680167597765363E-3</v>
      </c>
      <c r="H412" s="7"/>
    </row>
    <row r="413" spans="2:8" hidden="1" outlineLevel="2" x14ac:dyDescent="0.3">
      <c r="B413" s="130"/>
      <c r="C413" s="141"/>
      <c r="D413" s="109"/>
      <c r="E413" s="110"/>
      <c r="F413" s="74">
        <f t="shared" si="20"/>
        <v>0</v>
      </c>
      <c r="H413" s="7"/>
    </row>
    <row r="414" spans="2:8" hidden="1" outlineLevel="2" x14ac:dyDescent="0.3">
      <c r="B414" s="130"/>
      <c r="C414" s="141"/>
      <c r="D414" s="109"/>
      <c r="E414" s="110"/>
      <c r="F414" s="74">
        <f t="shared" si="20"/>
        <v>0</v>
      </c>
      <c r="H414" s="7"/>
    </row>
    <row r="415" spans="2:8" hidden="1" outlineLevel="2" x14ac:dyDescent="0.3">
      <c r="B415" s="130"/>
      <c r="C415" s="141"/>
      <c r="D415" s="109"/>
      <c r="E415" s="110"/>
      <c r="F415" s="74">
        <f t="shared" si="20"/>
        <v>0</v>
      </c>
      <c r="H415" s="7"/>
    </row>
    <row r="416" spans="2:8" hidden="1" outlineLevel="2" x14ac:dyDescent="0.3">
      <c r="B416" s="130"/>
      <c r="C416" s="141"/>
      <c r="D416" s="109"/>
      <c r="E416" s="110"/>
      <c r="F416" s="74">
        <f t="shared" si="20"/>
        <v>0</v>
      </c>
      <c r="H416" s="7"/>
    </row>
    <row r="417" spans="2:8" hidden="1" outlineLevel="2" x14ac:dyDescent="0.3">
      <c r="B417" s="130"/>
      <c r="C417" s="141"/>
      <c r="D417" s="109"/>
      <c r="E417" s="110"/>
      <c r="F417" s="74">
        <f t="shared" si="20"/>
        <v>0</v>
      </c>
      <c r="H417" s="7"/>
    </row>
    <row r="418" spans="2:8" hidden="1" outlineLevel="2" x14ac:dyDescent="0.3">
      <c r="B418" s="130"/>
      <c r="C418" s="141"/>
      <c r="D418" s="109"/>
      <c r="E418" s="110"/>
      <c r="F418" s="74">
        <f t="shared" si="20"/>
        <v>0</v>
      </c>
      <c r="H418" s="7"/>
    </row>
    <row r="419" spans="2:8" hidden="1" outlineLevel="2" x14ac:dyDescent="0.3">
      <c r="B419" s="130"/>
      <c r="C419" s="141"/>
      <c r="D419" s="109"/>
      <c r="E419" s="110"/>
      <c r="F419" s="74">
        <f t="shared" si="20"/>
        <v>0</v>
      </c>
      <c r="H419" s="7"/>
    </row>
    <row r="420" spans="2:8" ht="16.95" hidden="1" customHeight="1" outlineLevel="1" collapsed="1" x14ac:dyDescent="0.3">
      <c r="B420" s="130"/>
      <c r="C420" s="141"/>
      <c r="D420" s="1" t="s">
        <v>15</v>
      </c>
      <c r="E420" s="16">
        <f>SUM(E421:E432)</f>
        <v>937.22</v>
      </c>
      <c r="F420" s="74">
        <f t="shared" si="20"/>
        <v>6.5448324022346377E-2</v>
      </c>
      <c r="G420" s="6">
        <v>0.04</v>
      </c>
      <c r="H420" s="7">
        <v>570</v>
      </c>
    </row>
    <row r="421" spans="2:8" hidden="1" outlineLevel="2" x14ac:dyDescent="0.25">
      <c r="B421" s="130"/>
      <c r="C421" s="141"/>
      <c r="D421" s="56" t="s">
        <v>183</v>
      </c>
      <c r="E421" s="57">
        <v>89.51</v>
      </c>
      <c r="F421" s="101"/>
      <c r="G421" s="6"/>
      <c r="H421" s="7"/>
    </row>
    <row r="422" spans="2:8" hidden="1" outlineLevel="2" x14ac:dyDescent="0.25">
      <c r="B422" s="130"/>
      <c r="C422" s="141"/>
      <c r="D422" s="59" t="s">
        <v>213</v>
      </c>
      <c r="E422" s="60">
        <v>49.47</v>
      </c>
      <c r="F422" s="101"/>
      <c r="G422" s="6"/>
      <c r="H422" s="7"/>
    </row>
    <row r="423" spans="2:8" hidden="1" outlineLevel="2" x14ac:dyDescent="0.25">
      <c r="B423" s="130"/>
      <c r="C423" s="141"/>
      <c r="D423" s="58" t="s">
        <v>201</v>
      </c>
      <c r="E423" s="25">
        <v>290</v>
      </c>
      <c r="F423" s="101"/>
      <c r="G423" s="6"/>
      <c r="H423" s="7"/>
    </row>
    <row r="424" spans="2:8" hidden="1" outlineLevel="2" x14ac:dyDescent="0.25">
      <c r="B424" s="130"/>
      <c r="C424" s="141"/>
      <c r="D424" s="56" t="s">
        <v>214</v>
      </c>
      <c r="E424" s="57">
        <v>54.25</v>
      </c>
      <c r="F424" s="101"/>
      <c r="G424" s="6"/>
      <c r="H424" s="7"/>
    </row>
    <row r="425" spans="2:8" hidden="1" outlineLevel="2" x14ac:dyDescent="0.25">
      <c r="B425" s="130"/>
      <c r="C425" s="141"/>
      <c r="D425" s="58" t="s">
        <v>208</v>
      </c>
      <c r="E425" s="25">
        <v>175.93</v>
      </c>
      <c r="F425" s="101"/>
      <c r="G425" s="6"/>
      <c r="H425" s="7"/>
    </row>
    <row r="426" spans="2:8" hidden="1" outlineLevel="2" x14ac:dyDescent="0.25">
      <c r="B426" s="130"/>
      <c r="C426" s="141"/>
      <c r="D426" s="58" t="s">
        <v>202</v>
      </c>
      <c r="E426" s="25">
        <v>115.28</v>
      </c>
      <c r="F426" s="101"/>
      <c r="G426" s="6"/>
      <c r="H426" s="7"/>
    </row>
    <row r="427" spans="2:8" hidden="1" outlineLevel="2" x14ac:dyDescent="0.25">
      <c r="B427" s="130"/>
      <c r="C427" s="141"/>
      <c r="D427" s="61" t="s">
        <v>215</v>
      </c>
      <c r="E427" s="57">
        <v>110</v>
      </c>
      <c r="F427" s="101"/>
      <c r="G427" s="6"/>
      <c r="H427" s="7"/>
    </row>
    <row r="428" spans="2:8" hidden="1" outlineLevel="2" x14ac:dyDescent="0.25">
      <c r="B428" s="130"/>
      <c r="C428" s="141"/>
      <c r="D428" s="61" t="s">
        <v>216</v>
      </c>
      <c r="E428" s="57">
        <v>52.78</v>
      </c>
      <c r="F428" s="101"/>
      <c r="G428" s="6"/>
      <c r="H428" s="7"/>
    </row>
    <row r="429" spans="2:8" hidden="1" outlineLevel="2" x14ac:dyDescent="0.3">
      <c r="B429" s="130"/>
      <c r="C429" s="141"/>
      <c r="F429" s="101"/>
      <c r="G429" s="6"/>
      <c r="H429" s="7"/>
    </row>
    <row r="430" spans="2:8" hidden="1" outlineLevel="2" x14ac:dyDescent="0.25">
      <c r="B430" s="130"/>
      <c r="C430" s="141"/>
      <c r="D430" s="108"/>
      <c r="E430" s="104"/>
      <c r="F430" s="101"/>
      <c r="G430" s="6"/>
      <c r="H430" s="7"/>
    </row>
    <row r="431" spans="2:8" hidden="1" outlineLevel="2" x14ac:dyDescent="0.3">
      <c r="B431" s="130"/>
      <c r="C431" s="141"/>
      <c r="D431" s="109"/>
      <c r="E431" s="110"/>
      <c r="F431" s="101"/>
      <c r="G431" s="6"/>
      <c r="H431" s="7"/>
    </row>
    <row r="432" spans="2:8" hidden="1" outlineLevel="2" x14ac:dyDescent="0.3">
      <c r="B432" s="130"/>
      <c r="C432" s="141"/>
      <c r="D432" s="109"/>
      <c r="E432" s="110"/>
      <c r="F432" s="101"/>
      <c r="G432" s="6"/>
      <c r="H432" s="7"/>
    </row>
    <row r="433" spans="2:10" ht="14.4" hidden="1" outlineLevel="1" thickBot="1" x14ac:dyDescent="0.35">
      <c r="B433" s="130"/>
      <c r="C433" s="142"/>
      <c r="D433" s="11"/>
      <c r="E433" s="17">
        <f>E420+E399</f>
        <v>2184.83</v>
      </c>
      <c r="F433" s="80">
        <f>E433*100/$E$388*0.01</f>
        <v>0.1525719273743017</v>
      </c>
      <c r="G433" s="12">
        <f>G399+G420</f>
        <v>0.08</v>
      </c>
      <c r="H433" s="71">
        <f>H420+H399</f>
        <v>1140</v>
      </c>
    </row>
    <row r="434" spans="2:10" ht="14.4" hidden="1" outlineLevel="1" thickTop="1" x14ac:dyDescent="0.3">
      <c r="B434" s="130"/>
      <c r="C434" s="143" t="s">
        <v>61</v>
      </c>
      <c r="D434" s="13" t="s">
        <v>20</v>
      </c>
      <c r="E434" s="14"/>
      <c r="F434" s="74">
        <f>E434*100/$E$388*0.01</f>
        <v>0</v>
      </c>
      <c r="G434" s="15">
        <v>0.05</v>
      </c>
      <c r="H434" s="72">
        <v>1200</v>
      </c>
    </row>
    <row r="435" spans="2:10" hidden="1" outlineLevel="1" x14ac:dyDescent="0.3">
      <c r="B435" s="130"/>
      <c r="C435" s="144"/>
      <c r="D435" s="1" t="s">
        <v>21</v>
      </c>
      <c r="E435" s="5"/>
      <c r="F435" s="74">
        <f t="shared" ref="F435:F440" si="21">E435*100/$E$388*0.01</f>
        <v>0</v>
      </c>
      <c r="G435" s="3">
        <v>0.02</v>
      </c>
      <c r="H435" s="7">
        <v>500</v>
      </c>
    </row>
    <row r="436" spans="2:10" hidden="1" outlineLevel="1" x14ac:dyDescent="0.3">
      <c r="B436" s="130"/>
      <c r="C436" s="144"/>
      <c r="D436" s="1" t="s">
        <v>22</v>
      </c>
      <c r="E436" s="5"/>
      <c r="F436" s="74">
        <f t="shared" si="21"/>
        <v>0</v>
      </c>
      <c r="G436" s="3">
        <v>0.02</v>
      </c>
      <c r="H436" s="7">
        <v>350</v>
      </c>
    </row>
    <row r="437" spans="2:10" hidden="1" outlineLevel="1" x14ac:dyDescent="0.3">
      <c r="B437" s="130"/>
      <c r="C437" s="144"/>
      <c r="D437" s="1" t="s">
        <v>23</v>
      </c>
      <c r="E437" s="5"/>
      <c r="F437" s="74">
        <f t="shared" si="21"/>
        <v>0</v>
      </c>
      <c r="G437" s="3">
        <v>0.01</v>
      </c>
      <c r="H437" s="7">
        <v>300</v>
      </c>
    </row>
    <row r="438" spans="2:10" hidden="1" outlineLevel="1" x14ac:dyDescent="0.3">
      <c r="B438" s="130"/>
      <c r="C438" s="144"/>
      <c r="D438" s="1" t="s">
        <v>24</v>
      </c>
      <c r="E438" s="5"/>
      <c r="F438" s="74">
        <f t="shared" si="21"/>
        <v>0</v>
      </c>
      <c r="G438" s="3">
        <v>0.01</v>
      </c>
      <c r="H438" s="7">
        <v>150</v>
      </c>
    </row>
    <row r="439" spans="2:10" hidden="1" outlineLevel="1" x14ac:dyDescent="0.3">
      <c r="B439" s="130"/>
      <c r="C439" s="144"/>
      <c r="D439" s="1" t="s">
        <v>128</v>
      </c>
      <c r="E439" s="5"/>
      <c r="F439" s="74">
        <f t="shared" si="21"/>
        <v>0</v>
      </c>
      <c r="G439" s="3">
        <v>0.01</v>
      </c>
      <c r="H439" s="7">
        <v>150</v>
      </c>
    </row>
    <row r="440" spans="2:10" hidden="1" outlineLevel="1" x14ac:dyDescent="0.3">
      <c r="B440" s="130"/>
      <c r="C440" s="144"/>
      <c r="D440" s="1" t="s">
        <v>19</v>
      </c>
      <c r="E440" s="5"/>
      <c r="F440" s="74">
        <f t="shared" si="21"/>
        <v>0</v>
      </c>
      <c r="G440" s="3">
        <v>0.02</v>
      </c>
      <c r="H440" s="7">
        <v>500</v>
      </c>
    </row>
    <row r="441" spans="2:10" ht="14.4" hidden="1" outlineLevel="1" thickBot="1" x14ac:dyDescent="0.35">
      <c r="B441" s="130"/>
      <c r="C441" s="144"/>
      <c r="D441" s="11" t="s">
        <v>16</v>
      </c>
      <c r="E441" s="9">
        <f>SUM(E434:E440)</f>
        <v>0</v>
      </c>
      <c r="F441" s="80">
        <f>E441*100/$E$388*0.01</f>
        <v>0</v>
      </c>
      <c r="G441" s="10">
        <v>0.2</v>
      </c>
      <c r="H441" s="71">
        <f>SUM(H434:H440)</f>
        <v>3150</v>
      </c>
    </row>
    <row r="442" spans="2:10" ht="15" hidden="1" outlineLevel="1" thickTop="1" thickBot="1" x14ac:dyDescent="0.35">
      <c r="B442" s="131"/>
      <c r="C442" s="42"/>
      <c r="D442" s="42"/>
      <c r="E442" s="43" t="s">
        <v>78</v>
      </c>
      <c r="F442" s="83">
        <f>SUM(F441,F433,F398)</f>
        <v>0.81007751396648053</v>
      </c>
      <c r="G442" s="66"/>
      <c r="H442" s="73"/>
      <c r="J442" s="31" t="s">
        <v>72</v>
      </c>
    </row>
    <row r="443" spans="2:10" collapsed="1" x14ac:dyDescent="0.3">
      <c r="B443" s="84" t="s">
        <v>217</v>
      </c>
      <c r="C443" s="85"/>
      <c r="D443" s="85"/>
      <c r="E443" s="40"/>
      <c r="F443" s="77"/>
      <c r="G443" s="86"/>
      <c r="H443" s="44"/>
      <c r="J443" s="32">
        <f>E450-E460</f>
        <v>4904.5200000000004</v>
      </c>
    </row>
    <row r="444" spans="2:10" hidden="1" outlineLevel="1" x14ac:dyDescent="0.3">
      <c r="B444" s="130" t="s">
        <v>217</v>
      </c>
      <c r="C444" s="132" t="s">
        <v>6</v>
      </c>
      <c r="D444" s="1" t="s">
        <v>0</v>
      </c>
      <c r="E444" s="5">
        <v>7000</v>
      </c>
      <c r="F444" s="74">
        <f>E444*100/$E$450*0.01</f>
        <v>0.48882681564245806</v>
      </c>
      <c r="H444" s="7"/>
      <c r="J444" s="32"/>
    </row>
    <row r="445" spans="2:10" hidden="1" outlineLevel="1" x14ac:dyDescent="0.3">
      <c r="B445" s="130"/>
      <c r="C445" s="132"/>
      <c r="D445" s="1" t="s">
        <v>8</v>
      </c>
      <c r="E445" s="5">
        <v>1200</v>
      </c>
      <c r="F445" s="74">
        <f t="shared" ref="F445:F449" si="22">E445*100/$E$450*0.01</f>
        <v>8.3798882681564241E-2</v>
      </c>
      <c r="H445" s="7"/>
      <c r="J445" s="33" t="s">
        <v>74</v>
      </c>
    </row>
    <row r="446" spans="2:10" hidden="1" outlineLevel="1" x14ac:dyDescent="0.3">
      <c r="B446" s="130"/>
      <c r="C446" s="132"/>
      <c r="D446" s="1" t="s">
        <v>9</v>
      </c>
      <c r="E446" s="5">
        <v>120</v>
      </c>
      <c r="F446" s="74">
        <f t="shared" si="22"/>
        <v>8.3798882681564244E-3</v>
      </c>
      <c r="H446" s="7"/>
      <c r="J446" s="32">
        <f>E450-(E460+H490)</f>
        <v>3764.5200000000004</v>
      </c>
    </row>
    <row r="447" spans="2:10" hidden="1" outlineLevel="1" x14ac:dyDescent="0.3">
      <c r="B447" s="130"/>
      <c r="C447" s="132"/>
      <c r="D447" s="1" t="s">
        <v>10</v>
      </c>
      <c r="E447" s="5">
        <v>500</v>
      </c>
      <c r="F447" s="74">
        <f t="shared" si="22"/>
        <v>3.4916201117318434E-2</v>
      </c>
      <c r="H447" s="7"/>
      <c r="J447" s="34"/>
    </row>
    <row r="448" spans="2:10" hidden="1" outlineLevel="1" x14ac:dyDescent="0.3">
      <c r="B448" s="130"/>
      <c r="C448" s="132"/>
      <c r="D448" s="1" t="s">
        <v>1</v>
      </c>
      <c r="E448" s="5">
        <v>5500</v>
      </c>
      <c r="F448" s="74">
        <f t="shared" si="22"/>
        <v>0.38407821229050276</v>
      </c>
      <c r="H448" s="7"/>
      <c r="J448" s="35" t="s">
        <v>75</v>
      </c>
    </row>
    <row r="449" spans="2:10" hidden="1" outlineLevel="1" x14ac:dyDescent="0.3">
      <c r="B449" s="130"/>
      <c r="C449" s="132"/>
      <c r="E449" s="5"/>
      <c r="F449" s="74">
        <f t="shared" si="22"/>
        <v>0</v>
      </c>
      <c r="H449" s="7"/>
      <c r="J449" s="32">
        <f>E450-E460-E490-E498</f>
        <v>3014.8700000000008</v>
      </c>
    </row>
    <row r="450" spans="2:10" ht="14.4" hidden="1" outlineLevel="1" thickBot="1" x14ac:dyDescent="0.35">
      <c r="B450" s="130"/>
      <c r="C450" s="133"/>
      <c r="D450" s="8"/>
      <c r="E450" s="9">
        <f>SUM(E444:E449)</f>
        <v>14320</v>
      </c>
      <c r="F450" s="78"/>
      <c r="G450" s="10"/>
      <c r="H450" s="68"/>
      <c r="J450" s="36"/>
    </row>
    <row r="451" spans="2:10" ht="15" hidden="1" outlineLevel="1" thickTop="1" thickBot="1" x14ac:dyDescent="0.35">
      <c r="B451" s="130"/>
      <c r="C451" s="52" t="s">
        <v>77</v>
      </c>
      <c r="D451" s="49" t="s">
        <v>66</v>
      </c>
      <c r="E451" s="50"/>
      <c r="F451" s="79">
        <f>E451*100/$E$450*0.01</f>
        <v>0</v>
      </c>
      <c r="G451" s="51"/>
      <c r="H451" s="69"/>
      <c r="J451" s="37" t="s">
        <v>76</v>
      </c>
    </row>
    <row r="452" spans="2:10" hidden="1" outlineLevel="1" x14ac:dyDescent="0.3">
      <c r="B452" s="130"/>
      <c r="C452" s="134" t="s">
        <v>7</v>
      </c>
      <c r="D452" s="1" t="s">
        <v>2</v>
      </c>
      <c r="E452" s="5">
        <v>4605.3500000000004</v>
      </c>
      <c r="F452" s="74">
        <f>E452*100/$E$450*0.01</f>
        <v>0.32160265363128498</v>
      </c>
      <c r="G452" s="136">
        <v>0.6</v>
      </c>
      <c r="H452" s="138">
        <f>E450*60%</f>
        <v>8592</v>
      </c>
      <c r="J452" s="38">
        <f>SUM(E460,E490,E498)</f>
        <v>11305.13</v>
      </c>
    </row>
    <row r="453" spans="2:10" hidden="1" outlineLevel="1" x14ac:dyDescent="0.3">
      <c r="B453" s="130"/>
      <c r="C453" s="134"/>
      <c r="D453" s="1" t="s">
        <v>3</v>
      </c>
      <c r="E453" s="5">
        <v>1450</v>
      </c>
      <c r="F453" s="74">
        <f t="shared" ref="F453:F459" si="23">E453*100/$E$450*0.01</f>
        <v>0.10125698324022347</v>
      </c>
      <c r="G453" s="136"/>
      <c r="H453" s="138"/>
    </row>
    <row r="454" spans="2:10" hidden="1" outlineLevel="1" x14ac:dyDescent="0.3">
      <c r="B454" s="130"/>
      <c r="C454" s="134"/>
      <c r="D454" s="1" t="s">
        <v>4</v>
      </c>
      <c r="E454" s="5">
        <v>1333.22</v>
      </c>
      <c r="F454" s="74">
        <f t="shared" si="23"/>
        <v>9.3101955307262577E-2</v>
      </c>
      <c r="G454" s="136"/>
      <c r="H454" s="138"/>
    </row>
    <row r="455" spans="2:10" hidden="1" outlineLevel="1" x14ac:dyDescent="0.3">
      <c r="B455" s="130"/>
      <c r="C455" s="134"/>
      <c r="D455" s="1" t="s">
        <v>19</v>
      </c>
      <c r="E455" s="5">
        <v>1000</v>
      </c>
      <c r="F455" s="74">
        <f t="shared" si="23"/>
        <v>6.9832402234636867E-2</v>
      </c>
      <c r="G455" s="136"/>
      <c r="H455" s="138"/>
    </row>
    <row r="456" spans="2:10" hidden="1" outlineLevel="1" x14ac:dyDescent="0.3">
      <c r="B456" s="130"/>
      <c r="C456" s="134"/>
      <c r="D456" s="1" t="s">
        <v>11</v>
      </c>
      <c r="E456" s="5">
        <v>110</v>
      </c>
      <c r="F456" s="74">
        <f t="shared" si="23"/>
        <v>7.6815642458100564E-3</v>
      </c>
      <c r="G456" s="136"/>
      <c r="H456" s="138"/>
    </row>
    <row r="457" spans="2:10" hidden="1" outlineLevel="1" x14ac:dyDescent="0.3">
      <c r="B457" s="130"/>
      <c r="C457" s="134"/>
      <c r="D457" s="1" t="s">
        <v>12</v>
      </c>
      <c r="E457" s="5">
        <v>400</v>
      </c>
      <c r="F457" s="74">
        <f t="shared" si="23"/>
        <v>2.7932960893854747E-2</v>
      </c>
      <c r="G457" s="136"/>
      <c r="H457" s="138"/>
    </row>
    <row r="458" spans="2:10" hidden="1" outlineLevel="1" x14ac:dyDescent="0.3">
      <c r="B458" s="130"/>
      <c r="C458" s="134"/>
      <c r="D458" s="1" t="s">
        <v>13</v>
      </c>
      <c r="E458" s="5">
        <v>316.91000000000003</v>
      </c>
      <c r="F458" s="74">
        <f t="shared" si="23"/>
        <v>2.2130586592178775E-2</v>
      </c>
      <c r="G458" s="136"/>
      <c r="H458" s="138"/>
      <c r="J458" s="18"/>
    </row>
    <row r="459" spans="2:10" hidden="1" outlineLevel="1" x14ac:dyDescent="0.3">
      <c r="B459" s="130"/>
      <c r="C459" s="134"/>
      <c r="D459" s="1" t="s">
        <v>5</v>
      </c>
      <c r="E459" s="5">
        <v>200</v>
      </c>
      <c r="F459" s="74">
        <f t="shared" si="23"/>
        <v>1.3966480446927373E-2</v>
      </c>
      <c r="G459" s="136"/>
      <c r="H459" s="138"/>
    </row>
    <row r="460" spans="2:10" ht="14.4" hidden="1" outlineLevel="1" thickBot="1" x14ac:dyDescent="0.35">
      <c r="B460" s="130"/>
      <c r="C460" s="135"/>
      <c r="D460" s="11"/>
      <c r="E460" s="9">
        <f>SUM(E452:E459)</f>
        <v>9415.48</v>
      </c>
      <c r="F460" s="80">
        <f>SUM(F452:F459)</f>
        <v>0.65750558659217884</v>
      </c>
      <c r="G460" s="137"/>
      <c r="H460" s="139"/>
    </row>
    <row r="461" spans="2:10" ht="22.95" hidden="1" customHeight="1" outlineLevel="1" collapsed="1" thickTop="1" x14ac:dyDescent="0.3">
      <c r="B461" s="130"/>
      <c r="C461" s="140" t="s">
        <v>60</v>
      </c>
      <c r="D461" s="13" t="s">
        <v>14</v>
      </c>
      <c r="E461" s="14">
        <f>SUM(E462:E476)</f>
        <v>1001.8999999999999</v>
      </c>
      <c r="F461" s="74">
        <f>E461*100/$E$450*0.01</f>
        <v>6.9965083798882666E-2</v>
      </c>
      <c r="G461" s="15">
        <v>0.04</v>
      </c>
      <c r="H461" s="72">
        <v>570</v>
      </c>
    </row>
    <row r="462" spans="2:10" hidden="1" outlineLevel="2" x14ac:dyDescent="0.25">
      <c r="B462" s="130"/>
      <c r="C462" s="141"/>
      <c r="D462" s="24" t="s">
        <v>218</v>
      </c>
      <c r="E462" s="53">
        <v>290.95999999999998</v>
      </c>
      <c r="F462" s="74">
        <f t="shared" ref="F462:F477" si="24">E462*100/$E$450*0.01</f>
        <v>2.0318435754189942E-2</v>
      </c>
      <c r="H462" s="7"/>
    </row>
    <row r="463" spans="2:10" hidden="1" outlineLevel="2" x14ac:dyDescent="0.25">
      <c r="B463" s="130"/>
      <c r="C463" s="141"/>
      <c r="D463" s="24" t="s">
        <v>219</v>
      </c>
      <c r="E463" s="53">
        <v>121.21</v>
      </c>
      <c r="F463" s="74">
        <f t="shared" si="24"/>
        <v>8.4643854748603347E-3</v>
      </c>
      <c r="H463" s="7"/>
    </row>
    <row r="464" spans="2:10" hidden="1" outlineLevel="2" x14ac:dyDescent="0.25">
      <c r="B464" s="130"/>
      <c r="C464" s="141"/>
      <c r="D464" s="24" t="s">
        <v>220</v>
      </c>
      <c r="E464" s="53">
        <v>81.48</v>
      </c>
      <c r="F464" s="74">
        <f t="shared" si="24"/>
        <v>5.6899441340782118E-3</v>
      </c>
      <c r="H464" s="7"/>
    </row>
    <row r="465" spans="2:8" hidden="1" outlineLevel="2" x14ac:dyDescent="0.25">
      <c r="B465" s="130"/>
      <c r="C465" s="141"/>
      <c r="D465" s="99" t="s">
        <v>221</v>
      </c>
      <c r="E465" s="100">
        <v>52.33</v>
      </c>
      <c r="F465" s="74">
        <f t="shared" si="24"/>
        <v>3.6543296089385476E-3</v>
      </c>
      <c r="H465" s="7"/>
    </row>
    <row r="466" spans="2:8" hidden="1" outlineLevel="2" x14ac:dyDescent="0.25">
      <c r="B466" s="130"/>
      <c r="C466" s="141"/>
      <c r="D466" s="24" t="s">
        <v>222</v>
      </c>
      <c r="E466" s="53">
        <v>121.53</v>
      </c>
      <c r="F466" s="74">
        <f t="shared" si="24"/>
        <v>8.4867318435754187E-3</v>
      </c>
      <c r="H466" s="7"/>
    </row>
    <row r="467" spans="2:8" hidden="1" outlineLevel="2" x14ac:dyDescent="0.25">
      <c r="B467" s="130"/>
      <c r="C467" s="141"/>
      <c r="D467" s="24" t="s">
        <v>223</v>
      </c>
      <c r="E467" s="53">
        <v>29.66</v>
      </c>
      <c r="F467" s="74">
        <f t="shared" si="24"/>
        <v>2.0712290502793297E-3</v>
      </c>
      <c r="H467" s="7"/>
    </row>
    <row r="468" spans="2:8" hidden="1" outlineLevel="2" x14ac:dyDescent="0.25">
      <c r="B468" s="130"/>
      <c r="C468" s="141"/>
      <c r="D468" s="24" t="s">
        <v>224</v>
      </c>
      <c r="E468" s="53">
        <v>175.93</v>
      </c>
      <c r="F468" s="74">
        <f t="shared" si="24"/>
        <v>1.2285614525139666E-2</v>
      </c>
      <c r="H468" s="7"/>
    </row>
    <row r="469" spans="2:8" hidden="1" outlineLevel="2" x14ac:dyDescent="0.3">
      <c r="B469" s="130"/>
      <c r="C469" s="141"/>
      <c r="D469" s="54" t="s">
        <v>225</v>
      </c>
      <c r="E469" s="55">
        <v>41.63</v>
      </c>
      <c r="F469" s="74">
        <f t="shared" si="24"/>
        <v>2.9071229050279331E-3</v>
      </c>
      <c r="H469" s="7"/>
    </row>
    <row r="470" spans="2:8" hidden="1" outlineLevel="2" x14ac:dyDescent="0.3">
      <c r="B470" s="130"/>
      <c r="C470" s="141"/>
      <c r="D470" s="54" t="s">
        <v>226</v>
      </c>
      <c r="E470" s="55">
        <v>23.76</v>
      </c>
      <c r="F470" s="74">
        <f t="shared" si="24"/>
        <v>1.6592178770949721E-3</v>
      </c>
      <c r="H470" s="7"/>
    </row>
    <row r="471" spans="2:8" hidden="1" outlineLevel="2" x14ac:dyDescent="0.3">
      <c r="B471" s="130"/>
      <c r="C471" s="141"/>
      <c r="D471" s="54" t="s">
        <v>227</v>
      </c>
      <c r="E471" s="55">
        <v>36.659999999999997</v>
      </c>
      <c r="F471" s="74">
        <f t="shared" si="24"/>
        <v>2.5600558659217877E-3</v>
      </c>
      <c r="H471" s="7"/>
    </row>
    <row r="472" spans="2:8" hidden="1" outlineLevel="2" x14ac:dyDescent="0.3">
      <c r="B472" s="130"/>
      <c r="C472" s="141"/>
      <c r="D472" s="54" t="s">
        <v>227</v>
      </c>
      <c r="E472" s="55">
        <v>26.75</v>
      </c>
      <c r="F472" s="74">
        <f t="shared" si="24"/>
        <v>1.8680167597765363E-3</v>
      </c>
      <c r="H472" s="7"/>
    </row>
    <row r="473" spans="2:8" hidden="1" outlineLevel="2" x14ac:dyDescent="0.3">
      <c r="B473" s="130"/>
      <c r="C473" s="141"/>
      <c r="F473" s="74">
        <f t="shared" si="24"/>
        <v>0</v>
      </c>
      <c r="H473" s="7"/>
    </row>
    <row r="474" spans="2:8" hidden="1" outlineLevel="2" x14ac:dyDescent="0.3">
      <c r="B474" s="130"/>
      <c r="C474" s="141"/>
      <c r="F474" s="74">
        <f t="shared" si="24"/>
        <v>0</v>
      </c>
      <c r="H474" s="7"/>
    </row>
    <row r="475" spans="2:8" hidden="1" outlineLevel="2" x14ac:dyDescent="0.3">
      <c r="B475" s="130"/>
      <c r="C475" s="141"/>
      <c r="D475" s="109"/>
      <c r="E475" s="110"/>
      <c r="F475" s="74">
        <f t="shared" si="24"/>
        <v>0</v>
      </c>
      <c r="H475" s="7"/>
    </row>
    <row r="476" spans="2:8" hidden="1" outlineLevel="2" x14ac:dyDescent="0.3">
      <c r="B476" s="130"/>
      <c r="C476" s="141"/>
      <c r="D476" s="109"/>
      <c r="E476" s="110"/>
      <c r="F476" s="74">
        <f t="shared" si="24"/>
        <v>0</v>
      </c>
      <c r="H476" s="7"/>
    </row>
    <row r="477" spans="2:8" hidden="1" outlineLevel="1" collapsed="1" x14ac:dyDescent="0.3">
      <c r="B477" s="130"/>
      <c r="C477" s="141"/>
      <c r="D477" s="1" t="s">
        <v>15</v>
      </c>
      <c r="E477" s="16">
        <f>SUM(E478:E489)</f>
        <v>887.75</v>
      </c>
      <c r="F477" s="74">
        <f t="shared" si="24"/>
        <v>6.1993715083798889E-2</v>
      </c>
      <c r="G477" s="6">
        <v>0.04</v>
      </c>
      <c r="H477" s="7">
        <v>570</v>
      </c>
    </row>
    <row r="478" spans="2:8" hidden="1" outlineLevel="2" x14ac:dyDescent="0.25">
      <c r="B478" s="130"/>
      <c r="C478" s="141"/>
      <c r="D478" s="56" t="s">
        <v>203</v>
      </c>
      <c r="E478" s="57">
        <v>89.51</v>
      </c>
      <c r="F478" s="101"/>
      <c r="G478" s="6"/>
      <c r="H478" s="7"/>
    </row>
    <row r="479" spans="2:8" hidden="1" outlineLevel="2" x14ac:dyDescent="0.25">
      <c r="B479" s="130"/>
      <c r="C479" s="141"/>
      <c r="D479" s="58" t="s">
        <v>218</v>
      </c>
      <c r="E479" s="25">
        <v>290</v>
      </c>
      <c r="F479" s="101"/>
      <c r="G479" s="6"/>
      <c r="H479" s="7"/>
    </row>
    <row r="480" spans="2:8" hidden="1" outlineLevel="2" x14ac:dyDescent="0.25">
      <c r="B480" s="130"/>
      <c r="C480" s="141"/>
      <c r="D480" s="56" t="s">
        <v>228</v>
      </c>
      <c r="E480" s="57">
        <v>54.25</v>
      </c>
      <c r="F480" s="101"/>
      <c r="G480" s="6"/>
      <c r="H480" s="7"/>
    </row>
    <row r="481" spans="2:8" hidden="1" outlineLevel="2" x14ac:dyDescent="0.25">
      <c r="B481" s="130"/>
      <c r="C481" s="141"/>
      <c r="D481" s="58" t="s">
        <v>224</v>
      </c>
      <c r="E481" s="25">
        <v>175.93</v>
      </c>
      <c r="F481" s="101"/>
      <c r="G481" s="6"/>
      <c r="H481" s="7"/>
    </row>
    <row r="482" spans="2:8" hidden="1" outlineLevel="2" x14ac:dyDescent="0.25">
      <c r="B482" s="130"/>
      <c r="C482" s="141"/>
      <c r="D482" s="58" t="s">
        <v>219</v>
      </c>
      <c r="E482" s="25">
        <v>115.28</v>
      </c>
      <c r="F482" s="101"/>
      <c r="G482" s="6"/>
      <c r="H482" s="7"/>
    </row>
    <row r="483" spans="2:8" hidden="1" outlineLevel="2" x14ac:dyDescent="0.25">
      <c r="B483" s="130"/>
      <c r="C483" s="141"/>
      <c r="D483" s="61" t="s">
        <v>229</v>
      </c>
      <c r="E483" s="57">
        <v>110</v>
      </c>
      <c r="F483" s="101"/>
      <c r="G483" s="6"/>
      <c r="H483" s="7"/>
    </row>
    <row r="484" spans="2:8" hidden="1" outlineLevel="2" x14ac:dyDescent="0.25">
      <c r="B484" s="130"/>
      <c r="C484" s="141"/>
      <c r="D484" s="105" t="s">
        <v>230</v>
      </c>
      <c r="E484" s="60">
        <v>52.78</v>
      </c>
      <c r="F484" s="102"/>
      <c r="G484" s="93"/>
      <c r="H484" s="70"/>
    </row>
    <row r="485" spans="2:8" hidden="1" outlineLevel="2" x14ac:dyDescent="0.3">
      <c r="B485" s="130"/>
      <c r="C485" s="141"/>
    </row>
    <row r="486" spans="2:8" hidden="1" outlineLevel="2" x14ac:dyDescent="0.3">
      <c r="B486" s="130"/>
      <c r="C486" s="141"/>
      <c r="F486" s="101"/>
      <c r="G486" s="6"/>
      <c r="H486" s="7"/>
    </row>
    <row r="487" spans="2:8" hidden="1" outlineLevel="2" x14ac:dyDescent="0.25">
      <c r="B487" s="130"/>
      <c r="C487" s="141"/>
      <c r="D487" s="108"/>
      <c r="E487" s="104"/>
      <c r="F487" s="101"/>
      <c r="G487" s="6"/>
      <c r="H487" s="7"/>
    </row>
    <row r="488" spans="2:8" hidden="1" outlineLevel="2" x14ac:dyDescent="0.3">
      <c r="B488" s="130"/>
      <c r="C488" s="141"/>
      <c r="D488" s="109"/>
      <c r="E488" s="110"/>
      <c r="F488" s="101"/>
      <c r="G488" s="6"/>
      <c r="H488" s="7"/>
    </row>
    <row r="489" spans="2:8" hidden="1" outlineLevel="2" x14ac:dyDescent="0.3">
      <c r="B489" s="130"/>
      <c r="C489" s="141"/>
      <c r="D489" s="109"/>
      <c r="E489" s="110"/>
      <c r="F489" s="101"/>
      <c r="G489" s="6"/>
      <c r="H489" s="7"/>
    </row>
    <row r="490" spans="2:8" ht="14.4" hidden="1" outlineLevel="1" thickBot="1" x14ac:dyDescent="0.35">
      <c r="B490" s="130"/>
      <c r="C490" s="142"/>
      <c r="D490" s="11"/>
      <c r="E490" s="17">
        <f>E477+E461</f>
        <v>1889.6499999999999</v>
      </c>
      <c r="F490" s="80">
        <f>E490*100/$E$450*0.01</f>
        <v>0.13195879888268155</v>
      </c>
      <c r="G490" s="12">
        <f>G461+G477</f>
        <v>0.08</v>
      </c>
      <c r="H490" s="71">
        <f>H477+H461</f>
        <v>1140</v>
      </c>
    </row>
    <row r="491" spans="2:8" ht="14.4" hidden="1" outlineLevel="1" thickTop="1" x14ac:dyDescent="0.3">
      <c r="B491" s="130"/>
      <c r="C491" s="143" t="s">
        <v>61</v>
      </c>
      <c r="D491" s="13" t="s">
        <v>20</v>
      </c>
      <c r="E491" s="14"/>
      <c r="F491" s="74">
        <f>E491*100/$E$450*0.01</f>
        <v>0</v>
      </c>
      <c r="G491" s="15">
        <v>0.05</v>
      </c>
      <c r="H491" s="72">
        <v>1200</v>
      </c>
    </row>
    <row r="492" spans="2:8" hidden="1" outlineLevel="1" x14ac:dyDescent="0.3">
      <c r="B492" s="130"/>
      <c r="C492" s="144"/>
      <c r="D492" s="1" t="s">
        <v>21</v>
      </c>
      <c r="E492" s="5"/>
      <c r="F492" s="74">
        <f t="shared" ref="F492:F498" si="25">E492*100/$E$450*0.01</f>
        <v>0</v>
      </c>
      <c r="G492" s="3">
        <v>0.02</v>
      </c>
      <c r="H492" s="7">
        <v>500</v>
      </c>
    </row>
    <row r="493" spans="2:8" hidden="1" outlineLevel="1" x14ac:dyDescent="0.3">
      <c r="B493" s="130"/>
      <c r="C493" s="144"/>
      <c r="D493" s="1" t="s">
        <v>22</v>
      </c>
      <c r="E493" s="5"/>
      <c r="F493" s="74">
        <f t="shared" si="25"/>
        <v>0</v>
      </c>
      <c r="G493" s="3">
        <v>0.02</v>
      </c>
      <c r="H493" s="7">
        <v>350</v>
      </c>
    </row>
    <row r="494" spans="2:8" hidden="1" outlineLevel="1" x14ac:dyDescent="0.3">
      <c r="B494" s="130"/>
      <c r="C494" s="144"/>
      <c r="D494" s="1" t="s">
        <v>23</v>
      </c>
      <c r="E494" s="5"/>
      <c r="F494" s="74">
        <f t="shared" si="25"/>
        <v>0</v>
      </c>
      <c r="G494" s="3">
        <v>0.01</v>
      </c>
      <c r="H494" s="7">
        <v>300</v>
      </c>
    </row>
    <row r="495" spans="2:8" hidden="1" outlineLevel="1" x14ac:dyDescent="0.3">
      <c r="B495" s="130"/>
      <c r="C495" s="144"/>
      <c r="D495" s="1" t="s">
        <v>24</v>
      </c>
      <c r="E495" s="5"/>
      <c r="F495" s="74">
        <f t="shared" si="25"/>
        <v>0</v>
      </c>
      <c r="G495" s="3">
        <v>0.01</v>
      </c>
      <c r="H495" s="7">
        <v>150</v>
      </c>
    </row>
    <row r="496" spans="2:8" hidden="1" outlineLevel="1" x14ac:dyDescent="0.3">
      <c r="B496" s="130"/>
      <c r="C496" s="144"/>
      <c r="D496" s="1" t="s">
        <v>128</v>
      </c>
      <c r="E496" s="5"/>
      <c r="F496" s="74">
        <f t="shared" si="25"/>
        <v>0</v>
      </c>
      <c r="G496" s="3">
        <v>0.01</v>
      </c>
      <c r="H496" s="7">
        <v>150</v>
      </c>
    </row>
    <row r="497" spans="2:10" hidden="1" outlineLevel="1" x14ac:dyDescent="0.3">
      <c r="B497" s="130"/>
      <c r="C497" s="144"/>
      <c r="D497" s="1" t="s">
        <v>19</v>
      </c>
      <c r="E497" s="5"/>
      <c r="F497" s="74">
        <f t="shared" si="25"/>
        <v>0</v>
      </c>
      <c r="G497" s="3">
        <v>0.02</v>
      </c>
      <c r="H497" s="7">
        <v>500</v>
      </c>
    </row>
    <row r="498" spans="2:10" ht="14.4" hidden="1" outlineLevel="1" thickBot="1" x14ac:dyDescent="0.35">
      <c r="B498" s="130"/>
      <c r="C498" s="144"/>
      <c r="D498" s="11" t="s">
        <v>16</v>
      </c>
      <c r="E498" s="9">
        <f>SUM(E491:E497)</f>
        <v>0</v>
      </c>
      <c r="F498" s="82">
        <f t="shared" si="25"/>
        <v>0</v>
      </c>
      <c r="G498" s="10">
        <v>0.2</v>
      </c>
      <c r="H498" s="71">
        <f>SUM(H491:H497)</f>
        <v>3150</v>
      </c>
    </row>
    <row r="499" spans="2:10" ht="15" hidden="1" outlineLevel="1" thickTop="1" thickBot="1" x14ac:dyDescent="0.35">
      <c r="B499" s="131"/>
      <c r="C499" s="42"/>
      <c r="D499" s="42"/>
      <c r="E499" s="43" t="s">
        <v>78</v>
      </c>
      <c r="F499" s="83">
        <f>SUM(F498,F490,F460)</f>
        <v>0.78946438547486042</v>
      </c>
      <c r="G499" s="66"/>
      <c r="H499" s="73"/>
      <c r="J499" s="31" t="s">
        <v>72</v>
      </c>
    </row>
    <row r="500" spans="2:10" collapsed="1" x14ac:dyDescent="0.3">
      <c r="B500" s="84" t="s">
        <v>231</v>
      </c>
      <c r="C500" s="85"/>
      <c r="D500" s="85"/>
      <c r="E500" s="40"/>
      <c r="F500" s="77"/>
      <c r="G500" s="86"/>
      <c r="H500" s="44"/>
      <c r="J500" s="32">
        <f>E507-E517</f>
        <v>3704.5200000000004</v>
      </c>
    </row>
    <row r="501" spans="2:10" hidden="1" outlineLevel="1" x14ac:dyDescent="0.3">
      <c r="B501" s="130" t="s">
        <v>231</v>
      </c>
      <c r="C501" s="132" t="s">
        <v>6</v>
      </c>
      <c r="D501" s="1" t="s">
        <v>0</v>
      </c>
      <c r="E501" s="5">
        <v>7000</v>
      </c>
      <c r="F501" s="74">
        <f>E501*100/$E$507*0.01</f>
        <v>0.53353658536585369</v>
      </c>
      <c r="H501" s="7"/>
      <c r="J501" s="32"/>
    </row>
    <row r="502" spans="2:10" hidden="1" outlineLevel="1" x14ac:dyDescent="0.3">
      <c r="B502" s="130"/>
      <c r="C502" s="132"/>
      <c r="D502" s="1" t="s">
        <v>9</v>
      </c>
      <c r="E502" s="5">
        <v>120</v>
      </c>
      <c r="F502" s="74">
        <f t="shared" ref="F502:F506" si="26">E502*100/$E$507*0.01</f>
        <v>9.1463414634146353E-3</v>
      </c>
      <c r="H502" s="7"/>
      <c r="J502" s="33" t="s">
        <v>74</v>
      </c>
    </row>
    <row r="503" spans="2:10" hidden="1" outlineLevel="1" x14ac:dyDescent="0.3">
      <c r="B503" s="130"/>
      <c r="C503" s="132"/>
      <c r="D503" s="1" t="s">
        <v>10</v>
      </c>
      <c r="E503" s="5">
        <v>500</v>
      </c>
      <c r="F503" s="74">
        <f t="shared" si="26"/>
        <v>3.8109756097560975E-2</v>
      </c>
      <c r="H503" s="7"/>
      <c r="J503" s="32">
        <f>E507-(E517+H544)</f>
        <v>2564.5200000000004</v>
      </c>
    </row>
    <row r="504" spans="2:10" hidden="1" outlineLevel="1" x14ac:dyDescent="0.3">
      <c r="B504" s="130"/>
      <c r="C504" s="132"/>
      <c r="D504" s="1" t="s">
        <v>1</v>
      </c>
      <c r="E504" s="5">
        <v>5500</v>
      </c>
      <c r="F504" s="74">
        <f t="shared" si="26"/>
        <v>0.41920731707317077</v>
      </c>
      <c r="H504" s="7"/>
      <c r="J504" s="34"/>
    </row>
    <row r="505" spans="2:10" hidden="1" outlineLevel="1" x14ac:dyDescent="0.3">
      <c r="B505" s="130"/>
      <c r="C505" s="132"/>
      <c r="F505" s="74">
        <f t="shared" si="26"/>
        <v>0</v>
      </c>
      <c r="H505" s="7"/>
      <c r="J505" s="35" t="s">
        <v>75</v>
      </c>
    </row>
    <row r="506" spans="2:10" hidden="1" outlineLevel="1" x14ac:dyDescent="0.3">
      <c r="B506" s="130"/>
      <c r="C506" s="132"/>
      <c r="E506" s="5"/>
      <c r="F506" s="74">
        <f t="shared" si="26"/>
        <v>0</v>
      </c>
      <c r="H506" s="7"/>
      <c r="J506" s="32">
        <f>E507-E517-E544-E552</f>
        <v>1919.9800000000005</v>
      </c>
    </row>
    <row r="507" spans="2:10" ht="14.4" hidden="1" outlineLevel="1" thickBot="1" x14ac:dyDescent="0.35">
      <c r="B507" s="130"/>
      <c r="C507" s="133"/>
      <c r="D507" s="8"/>
      <c r="E507" s="9">
        <f>SUM(E501:E506)</f>
        <v>13120</v>
      </c>
      <c r="F507" s="78"/>
      <c r="G507" s="10"/>
      <c r="H507" s="68"/>
      <c r="J507" s="36"/>
    </row>
    <row r="508" spans="2:10" ht="15" hidden="1" outlineLevel="1" thickTop="1" thickBot="1" x14ac:dyDescent="0.35">
      <c r="B508" s="130"/>
      <c r="C508" s="52" t="s">
        <v>77</v>
      </c>
      <c r="D508" s="49" t="s">
        <v>66</v>
      </c>
      <c r="E508" s="50"/>
      <c r="F508" s="79">
        <f>E508*100/$E$507*0.01</f>
        <v>0</v>
      </c>
      <c r="G508" s="51"/>
      <c r="H508" s="69"/>
      <c r="J508" s="37" t="s">
        <v>76</v>
      </c>
    </row>
    <row r="509" spans="2:10" hidden="1" outlineLevel="1" x14ac:dyDescent="0.3">
      <c r="B509" s="130"/>
      <c r="C509" s="134" t="s">
        <v>7</v>
      </c>
      <c r="D509" s="1" t="s">
        <v>2</v>
      </c>
      <c r="E509" s="5">
        <v>4605.3500000000004</v>
      </c>
      <c r="F509" s="74">
        <f>E509*100/$E$507*0.01</f>
        <v>0.35101753048780493</v>
      </c>
      <c r="G509" s="136">
        <v>0.6</v>
      </c>
      <c r="H509" s="138">
        <f>E507*60%</f>
        <v>7872</v>
      </c>
      <c r="J509" s="38">
        <f>SUM(E517,E544,E552)</f>
        <v>11200.02</v>
      </c>
    </row>
    <row r="510" spans="2:10" hidden="1" outlineLevel="1" x14ac:dyDescent="0.3">
      <c r="B510" s="130"/>
      <c r="C510" s="134"/>
      <c r="D510" s="1" t="s">
        <v>3</v>
      </c>
      <c r="E510" s="5">
        <v>1450</v>
      </c>
      <c r="F510" s="74">
        <f t="shared" ref="F510:F516" si="27">E510*100/$E$507*0.01</f>
        <v>0.11051829268292684</v>
      </c>
      <c r="G510" s="136"/>
      <c r="H510" s="138"/>
    </row>
    <row r="511" spans="2:10" hidden="1" outlineLevel="1" x14ac:dyDescent="0.3">
      <c r="B511" s="130"/>
      <c r="C511" s="134"/>
      <c r="D511" s="1" t="s">
        <v>4</v>
      </c>
      <c r="E511" s="5">
        <v>1333.22</v>
      </c>
      <c r="F511" s="74">
        <f t="shared" si="27"/>
        <v>0.10161737804878049</v>
      </c>
      <c r="G511" s="136"/>
      <c r="H511" s="138"/>
    </row>
    <row r="512" spans="2:10" hidden="1" outlineLevel="1" x14ac:dyDescent="0.3">
      <c r="B512" s="130"/>
      <c r="C512" s="134"/>
      <c r="D512" s="1" t="s">
        <v>19</v>
      </c>
      <c r="E512" s="5">
        <v>1000</v>
      </c>
      <c r="F512" s="74">
        <f t="shared" si="27"/>
        <v>7.621951219512195E-2</v>
      </c>
      <c r="G512" s="136"/>
      <c r="H512" s="138"/>
    </row>
    <row r="513" spans="2:10" hidden="1" outlineLevel="1" x14ac:dyDescent="0.3">
      <c r="B513" s="130"/>
      <c r="C513" s="134"/>
      <c r="D513" s="1" t="s">
        <v>11</v>
      </c>
      <c r="E513" s="5">
        <v>110</v>
      </c>
      <c r="F513" s="74">
        <f t="shared" si="27"/>
        <v>8.3841463414634151E-3</v>
      </c>
      <c r="G513" s="136"/>
      <c r="H513" s="138"/>
    </row>
    <row r="514" spans="2:10" hidden="1" outlineLevel="1" x14ac:dyDescent="0.3">
      <c r="B514" s="130"/>
      <c r="C514" s="134"/>
      <c r="D514" s="1" t="s">
        <v>12</v>
      </c>
      <c r="E514" s="5">
        <v>400</v>
      </c>
      <c r="F514" s="74">
        <f t="shared" si="27"/>
        <v>3.0487804878048783E-2</v>
      </c>
      <c r="G514" s="136"/>
      <c r="H514" s="138"/>
    </row>
    <row r="515" spans="2:10" hidden="1" outlineLevel="1" x14ac:dyDescent="0.3">
      <c r="B515" s="130"/>
      <c r="C515" s="134"/>
      <c r="D515" s="1" t="s">
        <v>13</v>
      </c>
      <c r="E515" s="5">
        <v>316.91000000000003</v>
      </c>
      <c r="F515" s="74">
        <f t="shared" si="27"/>
        <v>2.4154725609756102E-2</v>
      </c>
      <c r="G515" s="136"/>
      <c r="H515" s="138"/>
      <c r="J515" s="18"/>
    </row>
    <row r="516" spans="2:10" hidden="1" outlineLevel="1" x14ac:dyDescent="0.3">
      <c r="B516" s="130"/>
      <c r="C516" s="134"/>
      <c r="D516" s="1" t="s">
        <v>5</v>
      </c>
      <c r="E516" s="5">
        <v>200</v>
      </c>
      <c r="F516" s="74">
        <f t="shared" si="27"/>
        <v>1.5243902439024392E-2</v>
      </c>
      <c r="G516" s="136"/>
      <c r="H516" s="138"/>
    </row>
    <row r="517" spans="2:10" ht="14.4" hidden="1" outlineLevel="1" thickBot="1" x14ac:dyDescent="0.35">
      <c r="B517" s="130"/>
      <c r="C517" s="135"/>
      <c r="D517" s="11"/>
      <c r="E517" s="9">
        <f>SUM(E509:E516)</f>
        <v>9415.48</v>
      </c>
      <c r="F517" s="80">
        <f>SUM(F509:F516)</f>
        <v>0.71764329268292693</v>
      </c>
      <c r="G517" s="137"/>
      <c r="H517" s="139"/>
    </row>
    <row r="518" spans="2:10" ht="22.05" hidden="1" customHeight="1" outlineLevel="1" collapsed="1" thickTop="1" x14ac:dyDescent="0.3">
      <c r="B518" s="130"/>
      <c r="C518" s="140" t="s">
        <v>60</v>
      </c>
      <c r="D518" s="13" t="s">
        <v>14</v>
      </c>
      <c r="E518" s="14">
        <f>SUM(E519:E532)</f>
        <v>949.56999999999994</v>
      </c>
      <c r="F518" s="74">
        <f>E518*100/$E$507*0.01</f>
        <v>7.2375762195121957E-2</v>
      </c>
      <c r="G518" s="15">
        <v>0.04</v>
      </c>
      <c r="H518" s="72">
        <v>570</v>
      </c>
    </row>
    <row r="519" spans="2:10" hidden="1" outlineLevel="2" x14ac:dyDescent="0.25">
      <c r="B519" s="130"/>
      <c r="C519" s="141"/>
      <c r="D519" s="24" t="s">
        <v>232</v>
      </c>
      <c r="E519" s="53">
        <v>290.95999999999998</v>
      </c>
      <c r="F519" s="74">
        <f t="shared" ref="F519:F543" si="28">E519*100/$E$507*0.01</f>
        <v>2.2176829268292678E-2</v>
      </c>
      <c r="G519" s="112"/>
      <c r="H519" s="113"/>
    </row>
    <row r="520" spans="2:10" hidden="1" outlineLevel="2" x14ac:dyDescent="0.25">
      <c r="B520" s="130"/>
      <c r="C520" s="141"/>
      <c r="D520" s="24" t="s">
        <v>233</v>
      </c>
      <c r="E520" s="53">
        <v>121.21</v>
      </c>
      <c r="F520" s="74">
        <f t="shared" si="28"/>
        <v>9.2385670731707312E-3</v>
      </c>
      <c r="G520" s="112"/>
      <c r="H520" s="113"/>
    </row>
    <row r="521" spans="2:10" hidden="1" outlineLevel="2" x14ac:dyDescent="0.25">
      <c r="B521" s="130"/>
      <c r="C521" s="141"/>
      <c r="D521" s="99" t="s">
        <v>234</v>
      </c>
      <c r="E521" s="100">
        <v>81.48</v>
      </c>
      <c r="F521" s="74">
        <f t="shared" si="28"/>
        <v>6.2103658536585369E-3</v>
      </c>
      <c r="G521" s="112"/>
      <c r="H521" s="113"/>
    </row>
    <row r="522" spans="2:10" hidden="1" outlineLevel="2" x14ac:dyDescent="0.25">
      <c r="B522" s="130"/>
      <c r="C522" s="141"/>
      <c r="D522" s="99" t="s">
        <v>235</v>
      </c>
      <c r="E522" s="100">
        <v>121.53</v>
      </c>
      <c r="F522" s="74">
        <f t="shared" si="28"/>
        <v>9.2629573170731703E-3</v>
      </c>
      <c r="G522" s="114"/>
      <c r="H522" s="113"/>
    </row>
    <row r="523" spans="2:10" hidden="1" outlineLevel="2" x14ac:dyDescent="0.25">
      <c r="B523" s="130"/>
      <c r="C523" s="141"/>
      <c r="D523" s="24" t="s">
        <v>236</v>
      </c>
      <c r="E523" s="53">
        <v>29.66</v>
      </c>
      <c r="F523" s="74">
        <f t="shared" si="28"/>
        <v>2.2606707317073173E-3</v>
      </c>
      <c r="G523" s="112"/>
      <c r="H523" s="113"/>
    </row>
    <row r="524" spans="2:10" hidden="1" outlineLevel="2" x14ac:dyDescent="0.25">
      <c r="B524" s="130"/>
      <c r="C524" s="141"/>
      <c r="D524" s="24" t="s">
        <v>237</v>
      </c>
      <c r="E524" s="53">
        <v>175.93</v>
      </c>
      <c r="F524" s="74">
        <f t="shared" si="28"/>
        <v>1.3409298780487805E-2</v>
      </c>
      <c r="G524" s="112"/>
      <c r="H524" s="113"/>
    </row>
    <row r="525" spans="2:10" hidden="1" outlineLevel="2" x14ac:dyDescent="0.3">
      <c r="B525" s="130"/>
      <c r="C525" s="141"/>
      <c r="D525" s="54" t="s">
        <v>238</v>
      </c>
      <c r="E525" s="55">
        <v>41.63</v>
      </c>
      <c r="F525" s="74">
        <f t="shared" si="28"/>
        <v>3.173018292682927E-3</v>
      </c>
      <c r="G525" s="112"/>
      <c r="H525" s="113"/>
    </row>
    <row r="526" spans="2:10" hidden="1" outlineLevel="2" x14ac:dyDescent="0.3">
      <c r="B526" s="130"/>
      <c r="C526" s="141"/>
      <c r="D526" s="54" t="s">
        <v>239</v>
      </c>
      <c r="E526" s="55">
        <v>23.76</v>
      </c>
      <c r="F526" s="74">
        <f t="shared" si="28"/>
        <v>1.8109756097560974E-3</v>
      </c>
      <c r="G526" s="112"/>
      <c r="H526" s="113"/>
    </row>
    <row r="527" spans="2:10" hidden="1" outlineLevel="2" x14ac:dyDescent="0.3">
      <c r="B527" s="130"/>
      <c r="C527" s="141"/>
      <c r="D527" s="54" t="s">
        <v>240</v>
      </c>
      <c r="E527" s="55">
        <v>36.659999999999997</v>
      </c>
      <c r="F527" s="74">
        <f t="shared" si="28"/>
        <v>2.7942073170731702E-3</v>
      </c>
      <c r="G527" s="112"/>
      <c r="H527" s="113"/>
    </row>
    <row r="528" spans="2:10" hidden="1" outlineLevel="2" x14ac:dyDescent="0.3">
      <c r="B528" s="130"/>
      <c r="C528" s="141"/>
      <c r="D528" s="54" t="s">
        <v>240</v>
      </c>
      <c r="E528" s="55">
        <v>26.75</v>
      </c>
      <c r="F528" s="74">
        <f t="shared" si="28"/>
        <v>2.0388719512195123E-3</v>
      </c>
      <c r="G528" s="112"/>
      <c r="H528" s="113"/>
    </row>
    <row r="529" spans="2:8" hidden="1" outlineLevel="2" x14ac:dyDescent="0.3">
      <c r="B529" s="130"/>
      <c r="C529" s="141"/>
      <c r="D529" s="109"/>
      <c r="E529" s="110"/>
      <c r="F529" s="74">
        <f t="shared" si="28"/>
        <v>0</v>
      </c>
      <c r="G529" s="112"/>
      <c r="H529" s="113"/>
    </row>
    <row r="530" spans="2:8" hidden="1" outlineLevel="2" x14ac:dyDescent="0.3">
      <c r="B530" s="130"/>
      <c r="C530" s="141"/>
      <c r="F530" s="74">
        <f t="shared" si="28"/>
        <v>0</v>
      </c>
      <c r="H530" s="7"/>
    </row>
    <row r="531" spans="2:8" hidden="1" outlineLevel="2" x14ac:dyDescent="0.3">
      <c r="B531" s="130"/>
      <c r="C531" s="141"/>
      <c r="F531" s="74">
        <f t="shared" si="28"/>
        <v>0</v>
      </c>
      <c r="H531" s="7"/>
    </row>
    <row r="532" spans="2:8" hidden="1" outlineLevel="2" x14ac:dyDescent="0.3">
      <c r="B532" s="130"/>
      <c r="C532" s="141"/>
      <c r="D532" s="109"/>
      <c r="E532" s="110"/>
      <c r="F532" s="74">
        <f t="shared" si="28"/>
        <v>0</v>
      </c>
      <c r="H532" s="7"/>
    </row>
    <row r="533" spans="2:8" hidden="1" outlineLevel="1" collapsed="1" x14ac:dyDescent="0.3">
      <c r="B533" s="130"/>
      <c r="C533" s="141"/>
      <c r="D533" s="1" t="s">
        <v>15</v>
      </c>
      <c r="E533" s="16">
        <f>SUM(E534:E543)</f>
        <v>834.97</v>
      </c>
      <c r="F533" s="74">
        <f t="shared" si="28"/>
        <v>6.3641006097560973E-2</v>
      </c>
      <c r="G533" s="6">
        <v>0.04</v>
      </c>
      <c r="H533" s="7">
        <v>570</v>
      </c>
    </row>
    <row r="534" spans="2:8" hidden="1" outlineLevel="2" x14ac:dyDescent="0.25">
      <c r="B534" s="130"/>
      <c r="C534" s="141"/>
      <c r="D534" s="56" t="s">
        <v>220</v>
      </c>
      <c r="E534" s="57">
        <v>89.51</v>
      </c>
      <c r="F534" s="74">
        <f t="shared" si="28"/>
        <v>6.8224085365853658E-3</v>
      </c>
      <c r="G534" s="6"/>
      <c r="H534" s="7"/>
    </row>
    <row r="535" spans="2:8" hidden="1" outlineLevel="2" x14ac:dyDescent="0.25">
      <c r="B535" s="130"/>
      <c r="C535" s="141"/>
      <c r="D535" s="58" t="s">
        <v>232</v>
      </c>
      <c r="E535" s="25">
        <v>290</v>
      </c>
      <c r="F535" s="74">
        <f t="shared" si="28"/>
        <v>2.2103658536585368E-2</v>
      </c>
      <c r="G535" s="6"/>
      <c r="H535" s="7"/>
    </row>
    <row r="536" spans="2:8" hidden="1" outlineLevel="2" x14ac:dyDescent="0.25">
      <c r="B536" s="130"/>
      <c r="C536" s="141"/>
      <c r="D536" s="56" t="s">
        <v>241</v>
      </c>
      <c r="E536" s="57">
        <v>54.25</v>
      </c>
      <c r="F536" s="74">
        <f t="shared" si="28"/>
        <v>4.1349085365853661E-3</v>
      </c>
      <c r="G536" s="6"/>
      <c r="H536" s="7"/>
    </row>
    <row r="537" spans="2:8" hidden="1" outlineLevel="2" x14ac:dyDescent="0.25">
      <c r="B537" s="130"/>
      <c r="C537" s="141"/>
      <c r="D537" s="58" t="s">
        <v>237</v>
      </c>
      <c r="E537" s="25">
        <v>175.93</v>
      </c>
      <c r="F537" s="74">
        <f t="shared" si="28"/>
        <v>1.3409298780487805E-2</v>
      </c>
      <c r="G537" s="6"/>
      <c r="H537" s="7"/>
    </row>
    <row r="538" spans="2:8" hidden="1" outlineLevel="2" x14ac:dyDescent="0.25">
      <c r="B538" s="130"/>
      <c r="C538" s="141"/>
      <c r="D538" s="58" t="s">
        <v>233</v>
      </c>
      <c r="E538" s="25">
        <v>115.28</v>
      </c>
      <c r="F538" s="74">
        <f t="shared" si="28"/>
        <v>8.7865853658536594E-3</v>
      </c>
      <c r="G538" s="6"/>
      <c r="H538" s="7"/>
    </row>
    <row r="539" spans="2:8" hidden="1" outlineLevel="2" x14ac:dyDescent="0.25">
      <c r="B539" s="130"/>
      <c r="C539" s="141"/>
      <c r="D539" s="61" t="s">
        <v>242</v>
      </c>
      <c r="E539" s="57">
        <v>110</v>
      </c>
      <c r="F539" s="74">
        <f t="shared" si="28"/>
        <v>8.3841463414634151E-3</v>
      </c>
      <c r="G539" s="6"/>
      <c r="H539" s="7"/>
    </row>
    <row r="540" spans="2:8" hidden="1" outlineLevel="2" x14ac:dyDescent="0.25">
      <c r="B540" s="130"/>
      <c r="C540" s="141"/>
      <c r="D540" s="108"/>
      <c r="E540" s="104"/>
      <c r="F540" s="74">
        <f t="shared" si="28"/>
        <v>0</v>
      </c>
      <c r="G540" s="116"/>
      <c r="H540" s="117"/>
    </row>
    <row r="541" spans="2:8" hidden="1" outlineLevel="2" x14ac:dyDescent="0.3">
      <c r="B541" s="130"/>
      <c r="C541" s="141"/>
      <c r="F541" s="74">
        <f t="shared" si="28"/>
        <v>0</v>
      </c>
      <c r="H541" s="7"/>
    </row>
    <row r="542" spans="2:8" hidden="1" outlineLevel="2" x14ac:dyDescent="0.3">
      <c r="B542" s="130"/>
      <c r="C542" s="141"/>
      <c r="D542" s="109"/>
      <c r="E542" s="110"/>
      <c r="F542" s="74">
        <f t="shared" si="28"/>
        <v>0</v>
      </c>
      <c r="G542" s="6"/>
      <c r="H542" s="7"/>
    </row>
    <row r="543" spans="2:8" hidden="1" outlineLevel="2" x14ac:dyDescent="0.3">
      <c r="B543" s="130"/>
      <c r="C543" s="141"/>
      <c r="D543" s="109"/>
      <c r="E543" s="110"/>
      <c r="F543" s="74">
        <f t="shared" si="28"/>
        <v>0</v>
      </c>
      <c r="G543" s="6"/>
      <c r="H543" s="7"/>
    </row>
    <row r="544" spans="2:8" ht="14.4" hidden="1" outlineLevel="1" thickBot="1" x14ac:dyDescent="0.35">
      <c r="B544" s="130"/>
      <c r="C544" s="142"/>
      <c r="D544" s="11"/>
      <c r="E544" s="17">
        <f>E533+E518</f>
        <v>1784.54</v>
      </c>
      <c r="F544" s="80">
        <f>E544*100/$E$507*0.01</f>
        <v>0.13601676829268292</v>
      </c>
      <c r="G544" s="12">
        <f>G518+G533</f>
        <v>0.08</v>
      </c>
      <c r="H544" s="71">
        <f>H533+H518</f>
        <v>1140</v>
      </c>
    </row>
    <row r="545" spans="2:10" ht="14.4" hidden="1" outlineLevel="1" thickTop="1" x14ac:dyDescent="0.3">
      <c r="B545" s="130"/>
      <c r="C545" s="143" t="s">
        <v>61</v>
      </c>
      <c r="D545" s="13" t="s">
        <v>20</v>
      </c>
      <c r="E545" s="14"/>
      <c r="F545" s="74">
        <f>E545*100/$E$507*0.01</f>
        <v>0</v>
      </c>
      <c r="G545" s="15">
        <v>0.05</v>
      </c>
      <c r="H545" s="72">
        <v>1200</v>
      </c>
    </row>
    <row r="546" spans="2:10" hidden="1" outlineLevel="1" x14ac:dyDescent="0.3">
      <c r="B546" s="130"/>
      <c r="C546" s="144"/>
      <c r="D546" s="1" t="s">
        <v>21</v>
      </c>
      <c r="E546" s="5"/>
      <c r="F546" s="74">
        <f t="shared" ref="F546:F552" si="29">E546*100/$E$507*0.01</f>
        <v>0</v>
      </c>
      <c r="G546" s="3">
        <v>0.02</v>
      </c>
      <c r="H546" s="7">
        <v>500</v>
      </c>
    </row>
    <row r="547" spans="2:10" hidden="1" outlineLevel="1" x14ac:dyDescent="0.3">
      <c r="B547" s="130"/>
      <c r="C547" s="144"/>
      <c r="D547" s="1" t="s">
        <v>22</v>
      </c>
      <c r="E547" s="5"/>
      <c r="F547" s="74">
        <f t="shared" si="29"/>
        <v>0</v>
      </c>
      <c r="G547" s="3">
        <v>0.02</v>
      </c>
      <c r="H547" s="7">
        <v>350</v>
      </c>
    </row>
    <row r="548" spans="2:10" hidden="1" outlineLevel="1" x14ac:dyDescent="0.3">
      <c r="B548" s="130"/>
      <c r="C548" s="144"/>
      <c r="D548" s="1" t="s">
        <v>23</v>
      </c>
      <c r="E548" s="5"/>
      <c r="F548" s="74">
        <f t="shared" si="29"/>
        <v>0</v>
      </c>
      <c r="G548" s="3">
        <v>0.01</v>
      </c>
      <c r="H548" s="7">
        <v>300</v>
      </c>
    </row>
    <row r="549" spans="2:10" hidden="1" outlineLevel="1" x14ac:dyDescent="0.3">
      <c r="B549" s="130"/>
      <c r="C549" s="144"/>
      <c r="D549" s="1" t="s">
        <v>24</v>
      </c>
      <c r="E549" s="5"/>
      <c r="F549" s="74">
        <f t="shared" si="29"/>
        <v>0</v>
      </c>
      <c r="G549" s="3">
        <v>0.01</v>
      </c>
      <c r="H549" s="7">
        <v>150</v>
      </c>
    </row>
    <row r="550" spans="2:10" hidden="1" outlineLevel="1" x14ac:dyDescent="0.3">
      <c r="B550" s="130"/>
      <c r="C550" s="144"/>
      <c r="D550" s="1" t="s">
        <v>128</v>
      </c>
      <c r="E550" s="5"/>
      <c r="F550" s="74">
        <f t="shared" si="29"/>
        <v>0</v>
      </c>
      <c r="G550" s="3">
        <v>0.01</v>
      </c>
      <c r="H550" s="7">
        <v>150</v>
      </c>
    </row>
    <row r="551" spans="2:10" hidden="1" outlineLevel="1" x14ac:dyDescent="0.3">
      <c r="B551" s="130"/>
      <c r="C551" s="144"/>
      <c r="D551" s="1" t="s">
        <v>19</v>
      </c>
      <c r="E551" s="5"/>
      <c r="F551" s="74">
        <f t="shared" si="29"/>
        <v>0</v>
      </c>
      <c r="G551" s="3">
        <v>0.02</v>
      </c>
      <c r="H551" s="7">
        <v>500</v>
      </c>
    </row>
    <row r="552" spans="2:10" ht="14.4" hidden="1" outlineLevel="1" thickBot="1" x14ac:dyDescent="0.35">
      <c r="B552" s="130"/>
      <c r="C552" s="144"/>
      <c r="D552" s="11" t="s">
        <v>16</v>
      </c>
      <c r="E552" s="9">
        <f>SUM(E545:E551)</f>
        <v>0</v>
      </c>
      <c r="F552" s="82">
        <f t="shared" si="29"/>
        <v>0</v>
      </c>
      <c r="G552" s="10">
        <v>0.2</v>
      </c>
      <c r="H552" s="71">
        <f>SUM(H545:H551)</f>
        <v>3150</v>
      </c>
    </row>
    <row r="553" spans="2:10" ht="15" hidden="1" outlineLevel="1" thickTop="1" thickBot="1" x14ac:dyDescent="0.35">
      <c r="B553" s="131"/>
      <c r="C553" s="42"/>
      <c r="D553" s="42"/>
      <c r="E553" s="43" t="s">
        <v>78</v>
      </c>
      <c r="F553" s="83">
        <f>SUM(F552,F544,F517)</f>
        <v>0.85366006097560987</v>
      </c>
      <c r="G553" s="66"/>
      <c r="H553" s="73"/>
      <c r="J553" s="31" t="s">
        <v>72</v>
      </c>
    </row>
    <row r="554" spans="2:10" collapsed="1" x14ac:dyDescent="0.3">
      <c r="B554" s="84" t="s">
        <v>243</v>
      </c>
      <c r="C554" s="85"/>
      <c r="D554" s="85"/>
      <c r="E554" s="40"/>
      <c r="F554" s="77"/>
      <c r="G554" s="86"/>
      <c r="H554" s="44"/>
      <c r="J554" s="32">
        <f>E561-E571</f>
        <v>3704.5200000000004</v>
      </c>
    </row>
    <row r="555" spans="2:10" hidden="1" outlineLevel="1" x14ac:dyDescent="0.3">
      <c r="B555" s="130" t="s">
        <v>243</v>
      </c>
      <c r="C555" s="132" t="s">
        <v>6</v>
      </c>
      <c r="D555" s="1" t="s">
        <v>0</v>
      </c>
      <c r="E555" s="5">
        <v>7000</v>
      </c>
      <c r="F555" s="74">
        <f>E555*100/$E$561*0.01</f>
        <v>0.53353658536585369</v>
      </c>
      <c r="H555" s="7"/>
      <c r="J555" s="32"/>
    </row>
    <row r="556" spans="2:10" hidden="1" outlineLevel="1" x14ac:dyDescent="0.3">
      <c r="B556" s="130"/>
      <c r="C556" s="132"/>
      <c r="D556" s="1" t="s">
        <v>9</v>
      </c>
      <c r="E556" s="5">
        <v>120</v>
      </c>
      <c r="F556" s="74">
        <f t="shared" ref="F556:F560" si="30">E556*100/$E$561*0.01</f>
        <v>9.1463414634146353E-3</v>
      </c>
      <c r="H556" s="7"/>
      <c r="J556" s="33" t="s">
        <v>74</v>
      </c>
    </row>
    <row r="557" spans="2:10" hidden="1" outlineLevel="1" x14ac:dyDescent="0.3">
      <c r="B557" s="130"/>
      <c r="C557" s="132"/>
      <c r="D557" s="1" t="s">
        <v>10</v>
      </c>
      <c r="E557" s="5">
        <v>500</v>
      </c>
      <c r="F557" s="74">
        <f t="shared" si="30"/>
        <v>3.8109756097560975E-2</v>
      </c>
      <c r="H557" s="7"/>
      <c r="J557" s="32">
        <f>E561-(E571+H597)</f>
        <v>2564.5200000000004</v>
      </c>
    </row>
    <row r="558" spans="2:10" hidden="1" outlineLevel="1" x14ac:dyDescent="0.3">
      <c r="B558" s="130"/>
      <c r="C558" s="132"/>
      <c r="D558" s="1" t="s">
        <v>1</v>
      </c>
      <c r="E558" s="5">
        <v>5500</v>
      </c>
      <c r="F558" s="74">
        <f t="shared" si="30"/>
        <v>0.41920731707317077</v>
      </c>
      <c r="H558" s="7"/>
      <c r="J558" s="34"/>
    </row>
    <row r="559" spans="2:10" hidden="1" outlineLevel="1" x14ac:dyDescent="0.3">
      <c r="B559" s="130"/>
      <c r="C559" s="132"/>
      <c r="F559" s="74">
        <f t="shared" si="30"/>
        <v>0</v>
      </c>
      <c r="H559" s="7"/>
      <c r="J559" s="35" t="s">
        <v>75</v>
      </c>
    </row>
    <row r="560" spans="2:10" hidden="1" outlineLevel="1" x14ac:dyDescent="0.3">
      <c r="B560" s="130"/>
      <c r="C560" s="132"/>
      <c r="E560" s="5"/>
      <c r="F560" s="74">
        <f t="shared" si="30"/>
        <v>0</v>
      </c>
      <c r="H560" s="7"/>
      <c r="J560" s="32">
        <f>E561-E571-E597-E605</f>
        <v>2122.9900000000007</v>
      </c>
    </row>
    <row r="561" spans="2:10" ht="14.4" hidden="1" outlineLevel="1" thickBot="1" x14ac:dyDescent="0.35">
      <c r="B561" s="130"/>
      <c r="C561" s="133"/>
      <c r="D561" s="8"/>
      <c r="E561" s="9">
        <f>SUM(E555:E560)</f>
        <v>13120</v>
      </c>
      <c r="F561" s="78"/>
      <c r="G561" s="10"/>
      <c r="H561" s="68"/>
      <c r="J561" s="36"/>
    </row>
    <row r="562" spans="2:10" ht="15" hidden="1" outlineLevel="1" thickTop="1" thickBot="1" x14ac:dyDescent="0.35">
      <c r="B562" s="130"/>
      <c r="C562" s="52" t="s">
        <v>77</v>
      </c>
      <c r="D562" s="49" t="s">
        <v>66</v>
      </c>
      <c r="E562" s="50"/>
      <c r="F562" s="79">
        <f>E562*100/$E$561*0.01</f>
        <v>0</v>
      </c>
      <c r="G562" s="51"/>
      <c r="H562" s="69"/>
      <c r="J562" s="37" t="s">
        <v>76</v>
      </c>
    </row>
    <row r="563" spans="2:10" hidden="1" outlineLevel="1" x14ac:dyDescent="0.3">
      <c r="B563" s="130"/>
      <c r="C563" s="134" t="s">
        <v>7</v>
      </c>
      <c r="D563" s="1" t="s">
        <v>2</v>
      </c>
      <c r="E563" s="5">
        <v>4605.3500000000004</v>
      </c>
      <c r="F563" s="74">
        <f>E563*100/$E$561*0.01</f>
        <v>0.35101753048780493</v>
      </c>
      <c r="G563" s="136">
        <v>0.6</v>
      </c>
      <c r="H563" s="138">
        <f>E561*60%</f>
        <v>7872</v>
      </c>
      <c r="J563" s="38">
        <f>SUM(E571,E597,E605)</f>
        <v>10997.01</v>
      </c>
    </row>
    <row r="564" spans="2:10" hidden="1" outlineLevel="1" x14ac:dyDescent="0.3">
      <c r="B564" s="130"/>
      <c r="C564" s="134"/>
      <c r="D564" s="1" t="s">
        <v>3</v>
      </c>
      <c r="E564" s="5">
        <v>1450</v>
      </c>
      <c r="F564" s="74">
        <f t="shared" ref="F564:F570" si="31">E564*100/$E$561*0.01</f>
        <v>0.11051829268292684</v>
      </c>
      <c r="G564" s="136"/>
      <c r="H564" s="138"/>
    </row>
    <row r="565" spans="2:10" hidden="1" outlineLevel="1" x14ac:dyDescent="0.3">
      <c r="B565" s="130"/>
      <c r="C565" s="134"/>
      <c r="D565" s="1" t="s">
        <v>4</v>
      </c>
      <c r="E565" s="5">
        <v>1333.22</v>
      </c>
      <c r="F565" s="74">
        <f t="shared" si="31"/>
        <v>0.10161737804878049</v>
      </c>
      <c r="G565" s="136"/>
      <c r="H565" s="138"/>
    </row>
    <row r="566" spans="2:10" hidden="1" outlineLevel="1" x14ac:dyDescent="0.3">
      <c r="B566" s="130"/>
      <c r="C566" s="134"/>
      <c r="D566" s="1" t="s">
        <v>19</v>
      </c>
      <c r="E566" s="5">
        <v>1000</v>
      </c>
      <c r="F566" s="74">
        <f t="shared" si="31"/>
        <v>7.621951219512195E-2</v>
      </c>
      <c r="G566" s="136"/>
      <c r="H566" s="138"/>
    </row>
    <row r="567" spans="2:10" hidden="1" outlineLevel="1" x14ac:dyDescent="0.3">
      <c r="B567" s="130"/>
      <c r="C567" s="134"/>
      <c r="D567" s="1" t="s">
        <v>11</v>
      </c>
      <c r="E567" s="5">
        <v>110</v>
      </c>
      <c r="F567" s="74">
        <f t="shared" si="31"/>
        <v>8.3841463414634151E-3</v>
      </c>
      <c r="G567" s="136"/>
      <c r="H567" s="138"/>
    </row>
    <row r="568" spans="2:10" hidden="1" outlineLevel="1" x14ac:dyDescent="0.3">
      <c r="B568" s="130"/>
      <c r="C568" s="134"/>
      <c r="D568" s="1" t="s">
        <v>12</v>
      </c>
      <c r="E568" s="5">
        <v>400</v>
      </c>
      <c r="F568" s="74">
        <f t="shared" si="31"/>
        <v>3.0487804878048783E-2</v>
      </c>
      <c r="G568" s="136"/>
      <c r="H568" s="138"/>
    </row>
    <row r="569" spans="2:10" hidden="1" outlineLevel="1" x14ac:dyDescent="0.3">
      <c r="B569" s="130"/>
      <c r="C569" s="134"/>
      <c r="D569" s="1" t="s">
        <v>13</v>
      </c>
      <c r="E569" s="5">
        <v>316.91000000000003</v>
      </c>
      <c r="F569" s="74">
        <f t="shared" si="31"/>
        <v>2.4154725609756102E-2</v>
      </c>
      <c r="G569" s="136"/>
      <c r="H569" s="138"/>
      <c r="J569" s="18"/>
    </row>
    <row r="570" spans="2:10" hidden="1" outlineLevel="1" x14ac:dyDescent="0.3">
      <c r="B570" s="130"/>
      <c r="C570" s="134"/>
      <c r="D570" s="1" t="s">
        <v>5</v>
      </c>
      <c r="E570" s="5">
        <v>200</v>
      </c>
      <c r="F570" s="74">
        <f t="shared" si="31"/>
        <v>1.5243902439024392E-2</v>
      </c>
      <c r="G570" s="136"/>
      <c r="H570" s="138"/>
    </row>
    <row r="571" spans="2:10" ht="14.4" hidden="1" outlineLevel="1" thickBot="1" x14ac:dyDescent="0.35">
      <c r="B571" s="130"/>
      <c r="C571" s="135"/>
      <c r="D571" s="11"/>
      <c r="E571" s="9">
        <f>SUM(E563:E570)</f>
        <v>9415.48</v>
      </c>
      <c r="F571" s="80">
        <f>SUM(F563:F570)</f>
        <v>0.71764329268292693</v>
      </c>
      <c r="G571" s="137"/>
      <c r="H571" s="139"/>
    </row>
    <row r="572" spans="2:10" ht="14.4" hidden="1" outlineLevel="1" collapsed="1" thickTop="1" x14ac:dyDescent="0.3">
      <c r="B572" s="130"/>
      <c r="C572" s="140" t="s">
        <v>60</v>
      </c>
      <c r="D572" s="13" t="s">
        <v>14</v>
      </c>
      <c r="E572" s="14">
        <f>SUM(E573:E585)</f>
        <v>746.56</v>
      </c>
      <c r="F572" s="74">
        <f>E572*100/$E$561*0.01</f>
        <v>5.6902439024390246E-2</v>
      </c>
      <c r="G572" s="15">
        <v>0.04</v>
      </c>
      <c r="H572" s="72">
        <v>570</v>
      </c>
    </row>
    <row r="573" spans="2:10" hidden="1" outlineLevel="2" x14ac:dyDescent="0.25">
      <c r="B573" s="130"/>
      <c r="C573" s="141"/>
      <c r="D573" s="24" t="s">
        <v>244</v>
      </c>
      <c r="E573" s="53">
        <v>290.95999999999998</v>
      </c>
      <c r="F573" s="74">
        <f t="shared" ref="F573:F586" si="32">E573*100/$E$561*0.01</f>
        <v>2.2176829268292678E-2</v>
      </c>
      <c r="G573" s="112"/>
      <c r="H573" s="113"/>
    </row>
    <row r="574" spans="2:10" hidden="1" outlineLevel="2" x14ac:dyDescent="0.25">
      <c r="B574" s="130"/>
      <c r="C574" s="141"/>
      <c r="D574" s="99" t="s">
        <v>245</v>
      </c>
      <c r="E574" s="100">
        <v>121.21</v>
      </c>
      <c r="F574" s="74">
        <f t="shared" si="32"/>
        <v>9.2385670731707312E-3</v>
      </c>
      <c r="G574" s="114"/>
      <c r="H574" s="118"/>
    </row>
    <row r="575" spans="2:10" hidden="1" outlineLevel="2" x14ac:dyDescent="0.25">
      <c r="B575" s="130"/>
      <c r="C575" s="141"/>
      <c r="D575" s="24" t="s">
        <v>246</v>
      </c>
      <c r="E575" s="53">
        <v>29.66</v>
      </c>
      <c r="F575" s="74">
        <f t="shared" si="32"/>
        <v>2.2606707317073173E-3</v>
      </c>
      <c r="G575" s="112"/>
      <c r="H575" s="113"/>
    </row>
    <row r="576" spans="2:10" hidden="1" outlineLevel="2" x14ac:dyDescent="0.25">
      <c r="B576" s="130"/>
      <c r="C576" s="141"/>
      <c r="D576" s="24" t="s">
        <v>247</v>
      </c>
      <c r="E576" s="53">
        <v>175.93</v>
      </c>
      <c r="F576" s="74">
        <f t="shared" si="32"/>
        <v>1.3409298780487805E-2</v>
      </c>
      <c r="G576" s="112"/>
      <c r="H576" s="113"/>
    </row>
    <row r="577" spans="2:8" hidden="1" outlineLevel="2" x14ac:dyDescent="0.3">
      <c r="B577" s="130"/>
      <c r="C577" s="141"/>
      <c r="D577" s="54" t="s">
        <v>248</v>
      </c>
      <c r="E577" s="55">
        <v>41.63</v>
      </c>
      <c r="F577" s="74">
        <f t="shared" si="32"/>
        <v>3.173018292682927E-3</v>
      </c>
      <c r="G577" s="112"/>
      <c r="H577" s="113"/>
    </row>
    <row r="578" spans="2:8" hidden="1" outlineLevel="2" x14ac:dyDescent="0.3">
      <c r="B578" s="130"/>
      <c r="C578" s="141"/>
      <c r="D578" s="54" t="s">
        <v>249</v>
      </c>
      <c r="E578" s="55">
        <v>23.76</v>
      </c>
      <c r="F578" s="74">
        <f t="shared" si="32"/>
        <v>1.8109756097560974E-3</v>
      </c>
      <c r="G578" s="112"/>
      <c r="H578" s="113"/>
    </row>
    <row r="579" spans="2:8" hidden="1" outlineLevel="2" x14ac:dyDescent="0.3">
      <c r="B579" s="130"/>
      <c r="C579" s="141"/>
      <c r="D579" s="106" t="s">
        <v>250</v>
      </c>
      <c r="E579" s="107">
        <v>36.659999999999997</v>
      </c>
      <c r="F579" s="74">
        <f t="shared" si="32"/>
        <v>2.7942073170731702E-3</v>
      </c>
      <c r="G579" s="114"/>
      <c r="H579" s="113"/>
    </row>
    <row r="580" spans="2:8" hidden="1" outlineLevel="2" x14ac:dyDescent="0.3">
      <c r="B580" s="130"/>
      <c r="C580" s="141"/>
      <c r="D580" s="106" t="s">
        <v>250</v>
      </c>
      <c r="E580" s="107">
        <v>26.75</v>
      </c>
      <c r="F580" s="74">
        <f t="shared" si="32"/>
        <v>2.0388719512195123E-3</v>
      </c>
      <c r="G580" s="114"/>
      <c r="H580" s="113"/>
    </row>
    <row r="581" spans="2:8" hidden="1" outlineLevel="2" x14ac:dyDescent="0.3">
      <c r="B581" s="130"/>
      <c r="C581" s="141"/>
      <c r="F581" s="74">
        <f t="shared" si="32"/>
        <v>0</v>
      </c>
      <c r="H581" s="118"/>
    </row>
    <row r="582" spans="2:8" hidden="1" outlineLevel="2" x14ac:dyDescent="0.3">
      <c r="B582" s="130"/>
      <c r="C582" s="141"/>
      <c r="F582" s="74">
        <f t="shared" si="32"/>
        <v>0</v>
      </c>
      <c r="H582" s="118"/>
    </row>
    <row r="583" spans="2:8" hidden="1" outlineLevel="2" x14ac:dyDescent="0.3">
      <c r="B583" s="130"/>
      <c r="C583" s="141"/>
      <c r="F583" s="74">
        <f t="shared" si="32"/>
        <v>0</v>
      </c>
      <c r="H583" s="7"/>
    </row>
    <row r="584" spans="2:8" hidden="1" outlineLevel="2" x14ac:dyDescent="0.3">
      <c r="B584" s="130"/>
      <c r="C584" s="141"/>
      <c r="F584" s="74">
        <f t="shared" si="32"/>
        <v>0</v>
      </c>
      <c r="H584" s="7"/>
    </row>
    <row r="585" spans="2:8" ht="10.050000000000001" hidden="1" customHeight="1" outlineLevel="2" x14ac:dyDescent="0.3">
      <c r="B585" s="130"/>
      <c r="C585" s="141"/>
      <c r="D585" s="109"/>
      <c r="E585" s="110"/>
      <c r="F585" s="74">
        <f t="shared" si="32"/>
        <v>0</v>
      </c>
      <c r="H585" s="7"/>
    </row>
    <row r="586" spans="2:8" hidden="1" outlineLevel="1" collapsed="1" x14ac:dyDescent="0.3">
      <c r="B586" s="130"/>
      <c r="C586" s="141"/>
      <c r="D586" s="1" t="s">
        <v>15</v>
      </c>
      <c r="E586" s="16">
        <f>SUM(E587:E596)</f>
        <v>834.97</v>
      </c>
      <c r="F586" s="74">
        <f t="shared" si="32"/>
        <v>6.3641006097560973E-2</v>
      </c>
      <c r="G586" s="6">
        <v>0.04</v>
      </c>
      <c r="H586" s="7">
        <v>570</v>
      </c>
    </row>
    <row r="587" spans="2:8" hidden="1" outlineLevel="2" x14ac:dyDescent="0.25">
      <c r="B587" s="130"/>
      <c r="C587" s="141"/>
      <c r="D587" s="59" t="s">
        <v>234</v>
      </c>
      <c r="E587" s="60">
        <v>89.51</v>
      </c>
      <c r="F587" s="101"/>
      <c r="G587" s="6"/>
      <c r="H587" s="7"/>
    </row>
    <row r="588" spans="2:8" hidden="1" outlineLevel="2" x14ac:dyDescent="0.25">
      <c r="B588" s="130"/>
      <c r="C588" s="141"/>
      <c r="D588" s="58" t="s">
        <v>244</v>
      </c>
      <c r="E588" s="25">
        <v>290</v>
      </c>
      <c r="F588" s="101"/>
      <c r="G588" s="6"/>
      <c r="H588" s="7"/>
    </row>
    <row r="589" spans="2:8" hidden="1" outlineLevel="2" x14ac:dyDescent="0.25">
      <c r="B589" s="130"/>
      <c r="C589" s="141"/>
      <c r="D589" s="59" t="s">
        <v>251</v>
      </c>
      <c r="E589" s="60">
        <v>54.25</v>
      </c>
      <c r="F589" s="101"/>
      <c r="G589" s="6"/>
      <c r="H589" s="7"/>
    </row>
    <row r="590" spans="2:8" hidden="1" outlineLevel="2" x14ac:dyDescent="0.25">
      <c r="B590" s="130"/>
      <c r="C590" s="141"/>
      <c r="D590" s="58" t="s">
        <v>247</v>
      </c>
      <c r="E590" s="25">
        <v>175.93</v>
      </c>
      <c r="F590" s="101"/>
      <c r="G590" s="6"/>
      <c r="H590" s="7"/>
    </row>
    <row r="591" spans="2:8" hidden="1" outlineLevel="2" x14ac:dyDescent="0.25">
      <c r="B591" s="130"/>
      <c r="C591" s="141"/>
      <c r="D591" s="62" t="s">
        <v>245</v>
      </c>
      <c r="E591" s="63">
        <v>115.28</v>
      </c>
      <c r="F591" s="102"/>
      <c r="G591" s="93"/>
      <c r="H591" s="70"/>
    </row>
    <row r="592" spans="2:8" hidden="1" outlineLevel="2" x14ac:dyDescent="0.25">
      <c r="B592" s="130"/>
      <c r="C592" s="141"/>
      <c r="D592" s="105" t="s">
        <v>252</v>
      </c>
      <c r="E592" s="60">
        <v>110</v>
      </c>
      <c r="F592" s="102"/>
      <c r="G592" s="93"/>
      <c r="H592" s="70"/>
    </row>
    <row r="593" spans="2:10" hidden="1" outlineLevel="2" x14ac:dyDescent="0.25">
      <c r="B593" s="130"/>
      <c r="C593" s="141"/>
      <c r="D593" s="108"/>
      <c r="E593" s="104"/>
      <c r="F593" s="115"/>
      <c r="G593" s="116"/>
      <c r="H593" s="117"/>
    </row>
    <row r="594" spans="2:10" hidden="1" outlineLevel="2" x14ac:dyDescent="0.3">
      <c r="B594" s="130"/>
      <c r="C594" s="141"/>
      <c r="H594" s="7"/>
    </row>
    <row r="595" spans="2:10" hidden="1" outlineLevel="2" x14ac:dyDescent="0.3">
      <c r="B595" s="130"/>
      <c r="C595" s="141"/>
      <c r="D595" s="109"/>
      <c r="E595" s="110"/>
      <c r="F595" s="101"/>
      <c r="G595" s="6"/>
      <c r="H595" s="7"/>
    </row>
    <row r="596" spans="2:10" hidden="1" outlineLevel="2" x14ac:dyDescent="0.3">
      <c r="B596" s="130"/>
      <c r="C596" s="141"/>
      <c r="D596" s="109"/>
      <c r="E596" s="110"/>
      <c r="F596" s="101"/>
      <c r="G596" s="6"/>
      <c r="H596" s="7"/>
    </row>
    <row r="597" spans="2:10" ht="14.4" hidden="1" outlineLevel="1" thickBot="1" x14ac:dyDescent="0.35">
      <c r="B597" s="130"/>
      <c r="C597" s="142"/>
      <c r="D597" s="11"/>
      <c r="E597" s="17">
        <f>E586+E572</f>
        <v>1581.53</v>
      </c>
      <c r="F597" s="80">
        <f>E597*100/$E$561*0.01</f>
        <v>0.12054344512195123</v>
      </c>
      <c r="G597" s="12">
        <f>G572+G586</f>
        <v>0.08</v>
      </c>
      <c r="H597" s="71">
        <f>H586+H572</f>
        <v>1140</v>
      </c>
    </row>
    <row r="598" spans="2:10" ht="14.4" hidden="1" outlineLevel="1" thickTop="1" x14ac:dyDescent="0.3">
      <c r="B598" s="130"/>
      <c r="C598" s="143" t="s">
        <v>61</v>
      </c>
      <c r="D598" s="13" t="s">
        <v>20</v>
      </c>
      <c r="E598" s="14"/>
      <c r="F598" s="74">
        <f>E598*100/$E$561*0.01</f>
        <v>0</v>
      </c>
      <c r="G598" s="15">
        <v>0.05</v>
      </c>
      <c r="H598" s="72">
        <v>1200</v>
      </c>
    </row>
    <row r="599" spans="2:10" hidden="1" outlineLevel="1" x14ac:dyDescent="0.3">
      <c r="B599" s="130"/>
      <c r="C599" s="144"/>
      <c r="D599" s="1" t="s">
        <v>21</v>
      </c>
      <c r="E599" s="5"/>
      <c r="F599" s="74">
        <f t="shared" ref="F599:F605" si="33">E599*100/$E$561*0.01</f>
        <v>0</v>
      </c>
      <c r="G599" s="3">
        <v>0.02</v>
      </c>
      <c r="H599" s="7">
        <v>500</v>
      </c>
    </row>
    <row r="600" spans="2:10" hidden="1" outlineLevel="1" x14ac:dyDescent="0.3">
      <c r="B600" s="130"/>
      <c r="C600" s="144"/>
      <c r="D600" s="1" t="s">
        <v>22</v>
      </c>
      <c r="E600" s="5"/>
      <c r="F600" s="74">
        <f t="shared" si="33"/>
        <v>0</v>
      </c>
      <c r="G600" s="3">
        <v>0.02</v>
      </c>
      <c r="H600" s="7">
        <v>350</v>
      </c>
    </row>
    <row r="601" spans="2:10" hidden="1" outlineLevel="1" x14ac:dyDescent="0.3">
      <c r="B601" s="130"/>
      <c r="C601" s="144"/>
      <c r="D601" s="1" t="s">
        <v>23</v>
      </c>
      <c r="E601" s="5"/>
      <c r="F601" s="74">
        <f t="shared" si="33"/>
        <v>0</v>
      </c>
      <c r="G601" s="3">
        <v>0.01</v>
      </c>
      <c r="H601" s="7">
        <v>300</v>
      </c>
    </row>
    <row r="602" spans="2:10" hidden="1" outlineLevel="1" x14ac:dyDescent="0.3">
      <c r="B602" s="130"/>
      <c r="C602" s="144"/>
      <c r="D602" s="1" t="s">
        <v>24</v>
      </c>
      <c r="E602" s="5"/>
      <c r="F602" s="74">
        <f t="shared" si="33"/>
        <v>0</v>
      </c>
      <c r="G602" s="3">
        <v>0.01</v>
      </c>
      <c r="H602" s="7">
        <v>150</v>
      </c>
    </row>
    <row r="603" spans="2:10" hidden="1" outlineLevel="1" x14ac:dyDescent="0.3">
      <c r="B603" s="130"/>
      <c r="C603" s="144"/>
      <c r="D603" s="1" t="s">
        <v>128</v>
      </c>
      <c r="E603" s="5"/>
      <c r="F603" s="74">
        <f t="shared" si="33"/>
        <v>0</v>
      </c>
      <c r="G603" s="3">
        <v>0.01</v>
      </c>
      <c r="H603" s="7">
        <v>150</v>
      </c>
    </row>
    <row r="604" spans="2:10" hidden="1" outlineLevel="1" x14ac:dyDescent="0.3">
      <c r="B604" s="130"/>
      <c r="C604" s="144"/>
      <c r="D604" s="1" t="s">
        <v>19</v>
      </c>
      <c r="E604" s="5"/>
      <c r="F604" s="74">
        <f t="shared" si="33"/>
        <v>0</v>
      </c>
      <c r="G604" s="3">
        <v>0.02</v>
      </c>
      <c r="H604" s="7">
        <v>500</v>
      </c>
    </row>
    <row r="605" spans="2:10" ht="14.4" hidden="1" outlineLevel="1" thickBot="1" x14ac:dyDescent="0.35">
      <c r="B605" s="130"/>
      <c r="C605" s="144"/>
      <c r="D605" s="11" t="s">
        <v>16</v>
      </c>
      <c r="E605" s="9">
        <f>SUM(E598:E604)</f>
        <v>0</v>
      </c>
      <c r="F605" s="82">
        <f t="shared" si="33"/>
        <v>0</v>
      </c>
      <c r="G605" s="10">
        <v>0.2</v>
      </c>
      <c r="H605" s="71">
        <f>SUM(H598:H604)</f>
        <v>3150</v>
      </c>
    </row>
    <row r="606" spans="2:10" ht="15" hidden="1" outlineLevel="1" thickTop="1" thickBot="1" x14ac:dyDescent="0.35">
      <c r="B606" s="131"/>
      <c r="C606" s="42"/>
      <c r="D606" s="42"/>
      <c r="E606" s="43" t="s">
        <v>78</v>
      </c>
      <c r="F606" s="83">
        <f>SUM(F605,F597,F571)</f>
        <v>0.83818673780487818</v>
      </c>
      <c r="G606" s="66"/>
      <c r="H606" s="73"/>
      <c r="J606" s="31" t="s">
        <v>72</v>
      </c>
    </row>
    <row r="607" spans="2:10" collapsed="1" x14ac:dyDescent="0.3">
      <c r="B607" s="84" t="s">
        <v>253</v>
      </c>
      <c r="C607" s="85"/>
      <c r="D607" s="85"/>
      <c r="E607" s="40"/>
      <c r="F607" s="77"/>
      <c r="G607" s="86"/>
      <c r="H607" s="44"/>
      <c r="J607" s="32">
        <f>E614-E624</f>
        <v>3704.5200000000004</v>
      </c>
    </row>
    <row r="608" spans="2:10" hidden="1" outlineLevel="1" x14ac:dyDescent="0.3">
      <c r="B608" s="130" t="s">
        <v>253</v>
      </c>
      <c r="C608" s="132" t="s">
        <v>6</v>
      </c>
      <c r="D608" s="1" t="s">
        <v>0</v>
      </c>
      <c r="E608" s="5">
        <v>7000</v>
      </c>
      <c r="F608" s="74">
        <f>E608*100/$E$614*0.01</f>
        <v>0.53353658536585369</v>
      </c>
      <c r="H608" s="7"/>
      <c r="J608" s="32"/>
    </row>
    <row r="609" spans="2:10" hidden="1" outlineLevel="1" x14ac:dyDescent="0.3">
      <c r="B609" s="130"/>
      <c r="C609" s="132"/>
      <c r="D609" s="1" t="s">
        <v>9</v>
      </c>
      <c r="E609" s="5">
        <v>120</v>
      </c>
      <c r="F609" s="74">
        <f t="shared" ref="F609:F613" si="34">E609*100/$E$614*0.01</f>
        <v>9.1463414634146353E-3</v>
      </c>
      <c r="H609" s="7"/>
      <c r="J609" s="33" t="s">
        <v>74</v>
      </c>
    </row>
    <row r="610" spans="2:10" hidden="1" outlineLevel="1" x14ac:dyDescent="0.3">
      <c r="B610" s="130"/>
      <c r="C610" s="132"/>
      <c r="D610" s="1" t="s">
        <v>10</v>
      </c>
      <c r="E610" s="5">
        <v>500</v>
      </c>
      <c r="F610" s="74">
        <f t="shared" si="34"/>
        <v>3.8109756097560975E-2</v>
      </c>
      <c r="H610" s="7"/>
      <c r="J610" s="32">
        <f>E614-(E624+H643)</f>
        <v>2564.5200000000004</v>
      </c>
    </row>
    <row r="611" spans="2:10" hidden="1" outlineLevel="1" x14ac:dyDescent="0.3">
      <c r="B611" s="130"/>
      <c r="C611" s="132"/>
      <c r="D611" s="1" t="s">
        <v>1</v>
      </c>
      <c r="E611" s="5">
        <v>5500</v>
      </c>
      <c r="F611" s="74">
        <f t="shared" si="34"/>
        <v>0.41920731707317077</v>
      </c>
      <c r="H611" s="7"/>
      <c r="J611" s="34"/>
    </row>
    <row r="612" spans="2:10" hidden="1" outlineLevel="1" x14ac:dyDescent="0.3">
      <c r="B612" s="130"/>
      <c r="C612" s="132"/>
      <c r="F612" s="74">
        <f t="shared" si="34"/>
        <v>0</v>
      </c>
      <c r="H612" s="7"/>
      <c r="J612" s="35" t="s">
        <v>75</v>
      </c>
    </row>
    <row r="613" spans="2:10" hidden="1" outlineLevel="1" x14ac:dyDescent="0.3">
      <c r="B613" s="130"/>
      <c r="C613" s="132"/>
      <c r="E613" s="5"/>
      <c r="F613" s="74">
        <f t="shared" si="34"/>
        <v>0</v>
      </c>
      <c r="H613" s="7"/>
      <c r="J613" s="32">
        <f>E614-E624-E643-E651</f>
        <v>2676.6500000000005</v>
      </c>
    </row>
    <row r="614" spans="2:10" ht="14.4" hidden="1" outlineLevel="1" thickBot="1" x14ac:dyDescent="0.35">
      <c r="B614" s="130"/>
      <c r="C614" s="133"/>
      <c r="D614" s="8"/>
      <c r="E614" s="9">
        <f>SUM(E608:E613)</f>
        <v>13120</v>
      </c>
      <c r="F614" s="78"/>
      <c r="G614" s="10"/>
      <c r="H614" s="68"/>
      <c r="J614" s="36"/>
    </row>
    <row r="615" spans="2:10" ht="15" hidden="1" outlineLevel="1" thickTop="1" thickBot="1" x14ac:dyDescent="0.35">
      <c r="B615" s="130"/>
      <c r="C615" s="52" t="s">
        <v>77</v>
      </c>
      <c r="D615" s="49" t="s">
        <v>66</v>
      </c>
      <c r="E615" s="50"/>
      <c r="F615" s="79">
        <f>E615*100/$E$614*0.01</f>
        <v>0</v>
      </c>
      <c r="G615" s="51"/>
      <c r="H615" s="69"/>
      <c r="J615" s="37" t="s">
        <v>76</v>
      </c>
    </row>
    <row r="616" spans="2:10" hidden="1" outlineLevel="1" x14ac:dyDescent="0.3">
      <c r="B616" s="130"/>
      <c r="C616" s="134" t="s">
        <v>7</v>
      </c>
      <c r="D616" s="1" t="s">
        <v>2</v>
      </c>
      <c r="E616" s="5">
        <v>4605.3500000000004</v>
      </c>
      <c r="F616" s="74">
        <f>E616*100/$E$614*0.01</f>
        <v>0.35101753048780493</v>
      </c>
      <c r="G616" s="136">
        <v>0.6</v>
      </c>
      <c r="H616" s="138">
        <f>E614*60%</f>
        <v>7872</v>
      </c>
      <c r="J616" s="38">
        <f>SUM(E624,E643,E651)</f>
        <v>10443.35</v>
      </c>
    </row>
    <row r="617" spans="2:10" hidden="1" outlineLevel="1" x14ac:dyDescent="0.3">
      <c r="B617" s="130"/>
      <c r="C617" s="134"/>
      <c r="D617" s="1" t="s">
        <v>3</v>
      </c>
      <c r="E617" s="5">
        <v>1450</v>
      </c>
      <c r="F617" s="74">
        <f t="shared" ref="F617:F623" si="35">E617*100/$E$614*0.01</f>
        <v>0.11051829268292684</v>
      </c>
      <c r="G617" s="136"/>
      <c r="H617" s="138"/>
    </row>
    <row r="618" spans="2:10" hidden="1" outlineLevel="1" x14ac:dyDescent="0.3">
      <c r="B618" s="130"/>
      <c r="C618" s="134"/>
      <c r="D618" s="1" t="s">
        <v>4</v>
      </c>
      <c r="E618" s="5">
        <v>1333.22</v>
      </c>
      <c r="F618" s="74">
        <f t="shared" si="35"/>
        <v>0.10161737804878049</v>
      </c>
      <c r="G618" s="136"/>
      <c r="H618" s="138"/>
    </row>
    <row r="619" spans="2:10" hidden="1" outlineLevel="1" x14ac:dyDescent="0.3">
      <c r="B619" s="130"/>
      <c r="C619" s="134"/>
      <c r="D619" s="1" t="s">
        <v>19</v>
      </c>
      <c r="E619" s="5">
        <v>1000</v>
      </c>
      <c r="F619" s="74">
        <f t="shared" si="35"/>
        <v>7.621951219512195E-2</v>
      </c>
      <c r="G619" s="136"/>
      <c r="H619" s="138"/>
    </row>
    <row r="620" spans="2:10" hidden="1" outlineLevel="1" x14ac:dyDescent="0.3">
      <c r="B620" s="130"/>
      <c r="C620" s="134"/>
      <c r="D620" s="1" t="s">
        <v>11</v>
      </c>
      <c r="E620" s="5">
        <v>110</v>
      </c>
      <c r="F620" s="74">
        <f t="shared" si="35"/>
        <v>8.3841463414634151E-3</v>
      </c>
      <c r="G620" s="136"/>
      <c r="H620" s="138"/>
    </row>
    <row r="621" spans="2:10" hidden="1" outlineLevel="1" x14ac:dyDescent="0.3">
      <c r="B621" s="130"/>
      <c r="C621" s="134"/>
      <c r="D621" s="1" t="s">
        <v>12</v>
      </c>
      <c r="E621" s="5">
        <v>400</v>
      </c>
      <c r="F621" s="74">
        <f t="shared" si="35"/>
        <v>3.0487804878048783E-2</v>
      </c>
      <c r="G621" s="136"/>
      <c r="H621" s="138"/>
    </row>
    <row r="622" spans="2:10" hidden="1" outlineLevel="1" x14ac:dyDescent="0.3">
      <c r="B622" s="130"/>
      <c r="C622" s="134"/>
      <c r="D622" s="1" t="s">
        <v>13</v>
      </c>
      <c r="E622" s="5">
        <v>316.91000000000003</v>
      </c>
      <c r="F622" s="74">
        <f t="shared" si="35"/>
        <v>2.4154725609756102E-2</v>
      </c>
      <c r="G622" s="136"/>
      <c r="H622" s="138"/>
      <c r="J622" s="18"/>
    </row>
    <row r="623" spans="2:10" hidden="1" outlineLevel="1" x14ac:dyDescent="0.3">
      <c r="B623" s="130"/>
      <c r="C623" s="134"/>
      <c r="D623" s="1" t="s">
        <v>5</v>
      </c>
      <c r="E623" s="5">
        <v>200</v>
      </c>
      <c r="F623" s="74">
        <f t="shared" si="35"/>
        <v>1.5243902439024392E-2</v>
      </c>
      <c r="G623" s="136"/>
      <c r="H623" s="138"/>
    </row>
    <row r="624" spans="2:10" ht="14.4" hidden="1" outlineLevel="1" thickBot="1" x14ac:dyDescent="0.35">
      <c r="B624" s="130"/>
      <c r="C624" s="135"/>
      <c r="D624" s="11"/>
      <c r="E624" s="9">
        <f>SUM(E616:E623)</f>
        <v>9415.48</v>
      </c>
      <c r="F624" s="80">
        <f>SUM(F616:F623)</f>
        <v>0.71764329268292693</v>
      </c>
      <c r="G624" s="137"/>
      <c r="H624" s="139"/>
    </row>
    <row r="625" spans="2:8" ht="14.4" hidden="1" outlineLevel="1" collapsed="1" thickTop="1" x14ac:dyDescent="0.3">
      <c r="B625" s="130"/>
      <c r="C625" s="140" t="s">
        <v>60</v>
      </c>
      <c r="D625" s="13" t="s">
        <v>14</v>
      </c>
      <c r="E625" s="14">
        <f>SUM(E626:E635)</f>
        <v>561.94000000000005</v>
      </c>
      <c r="F625" s="74">
        <f>E625*100/$E$614*0.01</f>
        <v>4.2830792682926833E-2</v>
      </c>
      <c r="G625" s="15">
        <v>0.04</v>
      </c>
      <c r="H625" s="72">
        <v>570</v>
      </c>
    </row>
    <row r="626" spans="2:8" hidden="1" outlineLevel="2" x14ac:dyDescent="0.25">
      <c r="B626" s="130"/>
      <c r="C626" s="141"/>
      <c r="D626" s="24" t="s">
        <v>254</v>
      </c>
      <c r="E626" s="53">
        <v>290.95999999999998</v>
      </c>
      <c r="F626" s="74">
        <f t="shared" ref="F626:F636" si="36">E626*100/$E$614*0.01</f>
        <v>2.2176829268292678E-2</v>
      </c>
      <c r="G626" s="112"/>
      <c r="H626" s="113"/>
    </row>
    <row r="627" spans="2:8" hidden="1" outlineLevel="2" x14ac:dyDescent="0.25">
      <c r="B627" s="130"/>
      <c r="C627" s="141"/>
      <c r="D627" s="99" t="s">
        <v>255</v>
      </c>
      <c r="E627" s="100">
        <v>29.66</v>
      </c>
      <c r="F627" s="74">
        <f t="shared" si="36"/>
        <v>2.2606707317073173E-3</v>
      </c>
      <c r="G627" s="112"/>
      <c r="H627" s="118"/>
    </row>
    <row r="628" spans="2:8" hidden="1" outlineLevel="2" x14ac:dyDescent="0.25">
      <c r="B628" s="130"/>
      <c r="C628" s="141"/>
      <c r="D628" s="99" t="s">
        <v>256</v>
      </c>
      <c r="E628" s="100">
        <v>175.93</v>
      </c>
      <c r="F628" s="74">
        <f t="shared" si="36"/>
        <v>1.3409298780487805E-2</v>
      </c>
      <c r="G628" s="112"/>
      <c r="H628" s="113"/>
    </row>
    <row r="629" spans="2:8" hidden="1" outlineLevel="2" x14ac:dyDescent="0.3">
      <c r="B629" s="130"/>
      <c r="C629" s="141"/>
      <c r="D629" s="54" t="s">
        <v>257</v>
      </c>
      <c r="E629" s="55">
        <v>41.63</v>
      </c>
      <c r="F629" s="74">
        <f t="shared" si="36"/>
        <v>3.173018292682927E-3</v>
      </c>
      <c r="G629" s="112"/>
      <c r="H629" s="113"/>
    </row>
    <row r="630" spans="2:8" hidden="1" outlineLevel="2" x14ac:dyDescent="0.3">
      <c r="B630" s="130"/>
      <c r="C630" s="141"/>
      <c r="D630" s="54" t="s">
        <v>258</v>
      </c>
      <c r="E630" s="55">
        <v>23.76</v>
      </c>
      <c r="F630" s="74">
        <f t="shared" si="36"/>
        <v>1.8109756097560974E-3</v>
      </c>
      <c r="G630" s="112"/>
      <c r="H630" s="113"/>
    </row>
    <row r="631" spans="2:8" hidden="1" outlineLevel="2" x14ac:dyDescent="0.3">
      <c r="B631" s="130"/>
      <c r="C631" s="141"/>
      <c r="D631" s="106"/>
      <c r="E631" s="107"/>
      <c r="F631" s="74">
        <f t="shared" si="36"/>
        <v>0</v>
      </c>
      <c r="G631" s="114"/>
      <c r="H631" s="113"/>
    </row>
    <row r="632" spans="2:8" hidden="1" outlineLevel="2" x14ac:dyDescent="0.3">
      <c r="B632" s="130"/>
      <c r="C632" s="141"/>
      <c r="F632" s="74">
        <f t="shared" si="36"/>
        <v>0</v>
      </c>
      <c r="H632" s="113"/>
    </row>
    <row r="633" spans="2:8" hidden="1" outlineLevel="2" x14ac:dyDescent="0.3">
      <c r="B633" s="130"/>
      <c r="C633" s="141"/>
      <c r="F633" s="74">
        <f t="shared" si="36"/>
        <v>0</v>
      </c>
      <c r="H633" s="7"/>
    </row>
    <row r="634" spans="2:8" hidden="1" outlineLevel="2" x14ac:dyDescent="0.3">
      <c r="B634" s="130"/>
      <c r="C634" s="141"/>
      <c r="F634" s="74">
        <f t="shared" si="36"/>
        <v>0</v>
      </c>
      <c r="H634" s="7"/>
    </row>
    <row r="635" spans="2:8" hidden="1" outlineLevel="2" x14ac:dyDescent="0.3">
      <c r="B635" s="130"/>
      <c r="C635" s="141"/>
      <c r="D635" s="109"/>
      <c r="E635" s="110"/>
      <c r="F635" s="74">
        <f t="shared" si="36"/>
        <v>0</v>
      </c>
      <c r="H635" s="7"/>
    </row>
    <row r="636" spans="2:8" hidden="1" outlineLevel="1" collapsed="1" x14ac:dyDescent="0.3">
      <c r="B636" s="130"/>
      <c r="C636" s="141"/>
      <c r="D636" s="1" t="s">
        <v>15</v>
      </c>
      <c r="E636" s="16">
        <f>SUM(E637:E642)</f>
        <v>465.93</v>
      </c>
      <c r="F636" s="74">
        <f t="shared" si="36"/>
        <v>3.5512957317073171E-2</v>
      </c>
      <c r="G636" s="6">
        <v>0.04</v>
      </c>
      <c r="H636" s="7">
        <v>570</v>
      </c>
    </row>
    <row r="637" spans="2:8" hidden="1" outlineLevel="2" x14ac:dyDescent="0.25">
      <c r="B637" s="130"/>
      <c r="C637" s="141"/>
      <c r="D637" s="58" t="s">
        <v>254</v>
      </c>
      <c r="E637" s="25">
        <v>290</v>
      </c>
      <c r="F637" s="101"/>
      <c r="G637" s="6"/>
      <c r="H637" s="7"/>
    </row>
    <row r="638" spans="2:8" hidden="1" outlineLevel="2" x14ac:dyDescent="0.25">
      <c r="B638" s="130"/>
      <c r="C638" s="141"/>
      <c r="D638" s="62" t="s">
        <v>256</v>
      </c>
      <c r="E638" s="63">
        <v>175.93</v>
      </c>
      <c r="G638" s="6"/>
      <c r="H638" s="7"/>
    </row>
    <row r="639" spans="2:8" hidden="1" outlineLevel="2" x14ac:dyDescent="0.25">
      <c r="B639" s="130"/>
      <c r="C639" s="141"/>
      <c r="D639" s="103"/>
      <c r="E639" s="104"/>
      <c r="F639" s="119"/>
      <c r="G639" s="120"/>
      <c r="H639" s="7"/>
    </row>
    <row r="640" spans="2:8" hidden="1" outlineLevel="2" x14ac:dyDescent="0.3">
      <c r="B640" s="130"/>
      <c r="C640" s="141"/>
      <c r="D640" s="121"/>
      <c r="E640" s="122"/>
      <c r="F640" s="119"/>
      <c r="G640" s="120"/>
      <c r="H640" s="7"/>
    </row>
    <row r="641" spans="2:10" hidden="1" outlineLevel="2" x14ac:dyDescent="0.25">
      <c r="B641" s="130"/>
      <c r="C641" s="141"/>
      <c r="D641" s="103"/>
      <c r="E641" s="104"/>
      <c r="F641" s="115"/>
      <c r="G641" s="116"/>
      <c r="H641" s="70"/>
    </row>
    <row r="642" spans="2:10" hidden="1" outlineLevel="2" x14ac:dyDescent="0.3">
      <c r="B642" s="130"/>
      <c r="C642" s="141"/>
      <c r="D642" s="109"/>
      <c r="E642" s="110"/>
      <c r="F642" s="101"/>
      <c r="G642" s="6"/>
      <c r="H642" s="7"/>
    </row>
    <row r="643" spans="2:10" ht="14.4" hidden="1" outlineLevel="1" thickBot="1" x14ac:dyDescent="0.35">
      <c r="B643" s="130"/>
      <c r="C643" s="142"/>
      <c r="D643" s="11"/>
      <c r="E643" s="17">
        <f>E636+E625</f>
        <v>1027.8700000000001</v>
      </c>
      <c r="F643" s="80">
        <f>E643*100/$E$614*0.01</f>
        <v>7.8343750000000018E-2</v>
      </c>
      <c r="G643" s="12">
        <f>G625+G636</f>
        <v>0.08</v>
      </c>
      <c r="H643" s="71">
        <f>H636+H625</f>
        <v>1140</v>
      </c>
    </row>
    <row r="644" spans="2:10" ht="14.4" hidden="1" outlineLevel="1" thickTop="1" x14ac:dyDescent="0.3">
      <c r="B644" s="130"/>
      <c r="C644" s="143" t="s">
        <v>61</v>
      </c>
      <c r="D644" s="13" t="s">
        <v>20</v>
      </c>
      <c r="E644" s="14"/>
      <c r="F644" s="74">
        <f>E644*100/$E$614*0.01</f>
        <v>0</v>
      </c>
      <c r="G644" s="15">
        <v>0.05</v>
      </c>
      <c r="H644" s="72">
        <v>1200</v>
      </c>
    </row>
    <row r="645" spans="2:10" hidden="1" outlineLevel="1" x14ac:dyDescent="0.3">
      <c r="B645" s="130"/>
      <c r="C645" s="144"/>
      <c r="D645" s="1" t="s">
        <v>21</v>
      </c>
      <c r="E645" s="5"/>
      <c r="F645" s="74">
        <f t="shared" ref="F645:F651" si="37">E645*100/$E$614*0.01</f>
        <v>0</v>
      </c>
      <c r="G645" s="3">
        <v>0.02</v>
      </c>
      <c r="H645" s="7">
        <v>500</v>
      </c>
    </row>
    <row r="646" spans="2:10" hidden="1" outlineLevel="1" x14ac:dyDescent="0.3">
      <c r="B646" s="130"/>
      <c r="C646" s="144"/>
      <c r="D646" s="1" t="s">
        <v>22</v>
      </c>
      <c r="E646" s="5"/>
      <c r="F646" s="74">
        <f t="shared" si="37"/>
        <v>0</v>
      </c>
      <c r="G646" s="3">
        <v>0.02</v>
      </c>
      <c r="H646" s="7">
        <v>350</v>
      </c>
    </row>
    <row r="647" spans="2:10" hidden="1" outlineLevel="1" x14ac:dyDescent="0.3">
      <c r="B647" s="130"/>
      <c r="C647" s="144"/>
      <c r="D647" s="1" t="s">
        <v>23</v>
      </c>
      <c r="E647" s="5"/>
      <c r="F647" s="74">
        <f t="shared" si="37"/>
        <v>0</v>
      </c>
      <c r="G647" s="3">
        <v>0.01</v>
      </c>
      <c r="H647" s="7">
        <v>300</v>
      </c>
    </row>
    <row r="648" spans="2:10" hidden="1" outlineLevel="1" x14ac:dyDescent="0.3">
      <c r="B648" s="130"/>
      <c r="C648" s="144"/>
      <c r="D648" s="1" t="s">
        <v>24</v>
      </c>
      <c r="E648" s="5"/>
      <c r="F648" s="74">
        <f t="shared" si="37"/>
        <v>0</v>
      </c>
      <c r="G648" s="3">
        <v>0.01</v>
      </c>
      <c r="H648" s="7">
        <v>150</v>
      </c>
    </row>
    <row r="649" spans="2:10" hidden="1" outlineLevel="1" x14ac:dyDescent="0.3">
      <c r="B649" s="130"/>
      <c r="C649" s="144"/>
      <c r="D649" s="1" t="s">
        <v>128</v>
      </c>
      <c r="E649" s="5"/>
      <c r="F649" s="74">
        <f t="shared" si="37"/>
        <v>0</v>
      </c>
      <c r="G649" s="3">
        <v>0.01</v>
      </c>
      <c r="H649" s="7">
        <v>150</v>
      </c>
    </row>
    <row r="650" spans="2:10" hidden="1" outlineLevel="1" x14ac:dyDescent="0.3">
      <c r="B650" s="130"/>
      <c r="C650" s="144"/>
      <c r="D650" s="1" t="s">
        <v>19</v>
      </c>
      <c r="E650" s="5"/>
      <c r="F650" s="74">
        <f t="shared" si="37"/>
        <v>0</v>
      </c>
      <c r="G650" s="3">
        <v>0.02</v>
      </c>
      <c r="H650" s="7">
        <v>500</v>
      </c>
    </row>
    <row r="651" spans="2:10" ht="14.4" hidden="1" outlineLevel="1" thickBot="1" x14ac:dyDescent="0.35">
      <c r="B651" s="130"/>
      <c r="C651" s="144"/>
      <c r="D651" s="11" t="s">
        <v>16</v>
      </c>
      <c r="E651" s="9">
        <f>SUM(E644:E650)</f>
        <v>0</v>
      </c>
      <c r="F651" s="82">
        <f t="shared" si="37"/>
        <v>0</v>
      </c>
      <c r="G651" s="10">
        <v>0.2</v>
      </c>
      <c r="H651" s="71">
        <f>SUM(H644:H650)</f>
        <v>3150</v>
      </c>
    </row>
    <row r="652" spans="2:10" ht="15" hidden="1" outlineLevel="1" thickTop="1" thickBot="1" x14ac:dyDescent="0.35">
      <c r="B652" s="131"/>
      <c r="C652" s="42"/>
      <c r="D652" s="42"/>
      <c r="E652" s="43" t="s">
        <v>78</v>
      </c>
      <c r="F652" s="83">
        <f>SUM(F651,F643,F624)</f>
        <v>0.79598704268292697</v>
      </c>
      <c r="G652" s="66"/>
      <c r="H652" s="73"/>
      <c r="J652" s="31" t="s">
        <v>72</v>
      </c>
    </row>
    <row r="653" spans="2:10" collapsed="1" x14ac:dyDescent="0.3">
      <c r="B653" s="84" t="s">
        <v>259</v>
      </c>
      <c r="C653" s="85"/>
      <c r="D653" s="85"/>
      <c r="E653" s="40"/>
      <c r="F653" s="77"/>
      <c r="G653" s="86"/>
      <c r="H653" s="44"/>
      <c r="J653" s="32">
        <f>E660-E670</f>
        <v>3704.5200000000004</v>
      </c>
    </row>
    <row r="654" spans="2:10" hidden="1" outlineLevel="1" x14ac:dyDescent="0.3">
      <c r="B654" s="130" t="s">
        <v>259</v>
      </c>
      <c r="C654" s="132" t="s">
        <v>6</v>
      </c>
      <c r="D654" s="1" t="s">
        <v>0</v>
      </c>
      <c r="E654" s="5">
        <v>7000</v>
      </c>
      <c r="F654" s="74">
        <f>E654*100/$E$660*0.01</f>
        <v>0.53353658536585369</v>
      </c>
      <c r="H654" s="7"/>
      <c r="J654" s="32"/>
    </row>
    <row r="655" spans="2:10" hidden="1" outlineLevel="1" x14ac:dyDescent="0.3">
      <c r="B655" s="130"/>
      <c r="C655" s="132"/>
      <c r="D655" s="1" t="s">
        <v>9</v>
      </c>
      <c r="E655" s="5">
        <v>120</v>
      </c>
      <c r="F655" s="74">
        <f t="shared" ref="F655:F659" si="38">E655*100/$E$660*0.01</f>
        <v>9.1463414634146353E-3</v>
      </c>
      <c r="H655" s="7"/>
      <c r="J655" s="33" t="s">
        <v>74</v>
      </c>
    </row>
    <row r="656" spans="2:10" hidden="1" outlineLevel="1" x14ac:dyDescent="0.3">
      <c r="B656" s="130"/>
      <c r="C656" s="132"/>
      <c r="D656" s="1" t="s">
        <v>10</v>
      </c>
      <c r="E656" s="5">
        <v>500</v>
      </c>
      <c r="F656" s="74">
        <f t="shared" si="38"/>
        <v>3.8109756097560975E-2</v>
      </c>
      <c r="H656" s="7"/>
      <c r="J656" s="32">
        <f>E660-(E670+H687)</f>
        <v>2564.5200000000004</v>
      </c>
    </row>
    <row r="657" spans="2:10" hidden="1" outlineLevel="1" x14ac:dyDescent="0.3">
      <c r="B657" s="130"/>
      <c r="C657" s="132"/>
      <c r="D657" s="1" t="s">
        <v>1</v>
      </c>
      <c r="E657" s="5">
        <v>5500</v>
      </c>
      <c r="F657" s="74">
        <f t="shared" si="38"/>
        <v>0.41920731707317077</v>
      </c>
      <c r="H657" s="7"/>
      <c r="J657" s="34"/>
    </row>
    <row r="658" spans="2:10" hidden="1" outlineLevel="1" x14ac:dyDescent="0.3">
      <c r="B658" s="130"/>
      <c r="C658" s="132"/>
      <c r="F658" s="74">
        <f t="shared" si="38"/>
        <v>0</v>
      </c>
      <c r="H658" s="7"/>
      <c r="J658" s="35" t="s">
        <v>75</v>
      </c>
    </row>
    <row r="659" spans="2:10" hidden="1" outlineLevel="1" x14ac:dyDescent="0.3">
      <c r="B659" s="130"/>
      <c r="C659" s="132"/>
      <c r="E659" s="5"/>
      <c r="F659" s="74">
        <f t="shared" si="38"/>
        <v>0</v>
      </c>
      <c r="H659" s="7"/>
      <c r="J659" s="32">
        <f>E660-E670-E687-E695</f>
        <v>3058.1700000000005</v>
      </c>
    </row>
    <row r="660" spans="2:10" ht="14.4" hidden="1" outlineLevel="1" thickBot="1" x14ac:dyDescent="0.35">
      <c r="B660" s="130"/>
      <c r="C660" s="133"/>
      <c r="D660" s="8"/>
      <c r="E660" s="9">
        <f>SUM(E654:E659)</f>
        <v>13120</v>
      </c>
      <c r="F660" s="74"/>
      <c r="G660" s="10"/>
      <c r="H660" s="68"/>
      <c r="J660" s="36"/>
    </row>
    <row r="661" spans="2:10" ht="15" hidden="1" outlineLevel="1" thickTop="1" thickBot="1" x14ac:dyDescent="0.35">
      <c r="B661" s="130"/>
      <c r="C661" s="52" t="s">
        <v>77</v>
      </c>
      <c r="D661" s="49" t="s">
        <v>66</v>
      </c>
      <c r="E661" s="50"/>
      <c r="F661" s="79">
        <f>E661*100/$E$660*0.01</f>
        <v>0</v>
      </c>
      <c r="G661" s="51"/>
      <c r="H661" s="69"/>
      <c r="J661" s="37" t="s">
        <v>76</v>
      </c>
    </row>
    <row r="662" spans="2:10" hidden="1" outlineLevel="1" x14ac:dyDescent="0.3">
      <c r="B662" s="130"/>
      <c r="C662" s="134" t="s">
        <v>7</v>
      </c>
      <c r="D662" s="1" t="s">
        <v>2</v>
      </c>
      <c r="E662" s="5">
        <v>4605.3500000000004</v>
      </c>
      <c r="F662" s="74">
        <f>E662*100/$E$660*0.01</f>
        <v>0.35101753048780493</v>
      </c>
      <c r="G662" s="136">
        <v>0.6</v>
      </c>
      <c r="H662" s="138">
        <f>E660*60%</f>
        <v>7872</v>
      </c>
      <c r="J662" s="38">
        <f>SUM(E670,E687,E695)</f>
        <v>10061.83</v>
      </c>
    </row>
    <row r="663" spans="2:10" hidden="1" outlineLevel="1" x14ac:dyDescent="0.3">
      <c r="B663" s="130"/>
      <c r="C663" s="134"/>
      <c r="D663" s="1" t="s">
        <v>3</v>
      </c>
      <c r="E663" s="5">
        <v>1450</v>
      </c>
      <c r="F663" s="74">
        <f t="shared" ref="F663:F669" si="39">E663*100/$E$660*0.01</f>
        <v>0.11051829268292684</v>
      </c>
      <c r="G663" s="136"/>
      <c r="H663" s="138"/>
    </row>
    <row r="664" spans="2:10" hidden="1" outlineLevel="1" x14ac:dyDescent="0.3">
      <c r="B664" s="130"/>
      <c r="C664" s="134"/>
      <c r="D664" s="1" t="s">
        <v>4</v>
      </c>
      <c r="E664" s="5">
        <v>1333.22</v>
      </c>
      <c r="F664" s="74">
        <f t="shared" si="39"/>
        <v>0.10161737804878049</v>
      </c>
      <c r="G664" s="136"/>
      <c r="H664" s="138"/>
    </row>
    <row r="665" spans="2:10" hidden="1" outlineLevel="1" x14ac:dyDescent="0.3">
      <c r="B665" s="130"/>
      <c r="C665" s="134"/>
      <c r="D665" s="1" t="s">
        <v>19</v>
      </c>
      <c r="E665" s="5">
        <v>1000</v>
      </c>
      <c r="F665" s="74">
        <f t="shared" si="39"/>
        <v>7.621951219512195E-2</v>
      </c>
      <c r="G665" s="136"/>
      <c r="H665" s="138"/>
    </row>
    <row r="666" spans="2:10" hidden="1" outlineLevel="1" x14ac:dyDescent="0.3">
      <c r="B666" s="130"/>
      <c r="C666" s="134"/>
      <c r="D666" s="1" t="s">
        <v>11</v>
      </c>
      <c r="E666" s="5">
        <v>110</v>
      </c>
      <c r="F666" s="74">
        <f t="shared" si="39"/>
        <v>8.3841463414634151E-3</v>
      </c>
      <c r="G666" s="136"/>
      <c r="H666" s="138"/>
    </row>
    <row r="667" spans="2:10" hidden="1" outlineLevel="1" x14ac:dyDescent="0.3">
      <c r="B667" s="130"/>
      <c r="C667" s="134"/>
      <c r="D667" s="1" t="s">
        <v>12</v>
      </c>
      <c r="E667" s="5">
        <v>400</v>
      </c>
      <c r="F667" s="74">
        <f t="shared" si="39"/>
        <v>3.0487804878048783E-2</v>
      </c>
      <c r="G667" s="136"/>
      <c r="H667" s="138"/>
    </row>
    <row r="668" spans="2:10" hidden="1" outlineLevel="1" x14ac:dyDescent="0.3">
      <c r="B668" s="130"/>
      <c r="C668" s="134"/>
      <c r="D668" s="1" t="s">
        <v>13</v>
      </c>
      <c r="E668" s="5">
        <v>316.91000000000003</v>
      </c>
      <c r="F668" s="74">
        <f t="shared" si="39"/>
        <v>2.4154725609756102E-2</v>
      </c>
      <c r="G668" s="136"/>
      <c r="H668" s="138"/>
      <c r="J668" s="18"/>
    </row>
    <row r="669" spans="2:10" hidden="1" outlineLevel="1" x14ac:dyDescent="0.3">
      <c r="B669" s="130"/>
      <c r="C669" s="134"/>
      <c r="D669" s="1" t="s">
        <v>5</v>
      </c>
      <c r="E669" s="5">
        <v>200</v>
      </c>
      <c r="F669" s="74">
        <f t="shared" si="39"/>
        <v>1.5243902439024392E-2</v>
      </c>
      <c r="G669" s="136"/>
      <c r="H669" s="138"/>
    </row>
    <row r="670" spans="2:10" ht="14.4" hidden="1" outlineLevel="1" thickBot="1" x14ac:dyDescent="0.35">
      <c r="B670" s="130"/>
      <c r="C670" s="135"/>
      <c r="D670" s="11"/>
      <c r="E670" s="9">
        <f>SUM(E662:E669)</f>
        <v>9415.48</v>
      </c>
      <c r="F670" s="80">
        <f>SUM(F662:F669)</f>
        <v>0.71764329268292693</v>
      </c>
      <c r="G670" s="137"/>
      <c r="H670" s="139"/>
    </row>
    <row r="671" spans="2:10" ht="24.45" hidden="1" customHeight="1" outlineLevel="1" collapsed="1" thickTop="1" x14ac:dyDescent="0.3">
      <c r="B671" s="130"/>
      <c r="C671" s="140" t="s">
        <v>60</v>
      </c>
      <c r="D671" s="13" t="s">
        <v>14</v>
      </c>
      <c r="E671" s="14">
        <f>SUM(E672:E679)</f>
        <v>356.34999999999997</v>
      </c>
      <c r="F671" s="74">
        <f>E671*100/$E$660*0.01</f>
        <v>2.7160823170731711E-2</v>
      </c>
      <c r="G671" s="15">
        <v>0.04</v>
      </c>
      <c r="H671" s="72">
        <v>570</v>
      </c>
    </row>
    <row r="672" spans="2:10" hidden="1" outlineLevel="2" x14ac:dyDescent="0.25">
      <c r="B672" s="130"/>
      <c r="C672" s="141"/>
      <c r="D672" s="99" t="s">
        <v>260</v>
      </c>
      <c r="E672" s="100">
        <v>290.95999999999998</v>
      </c>
      <c r="F672" s="74">
        <f t="shared" ref="F672:F680" si="40">E672*100/$E$660*0.01</f>
        <v>2.2176829268292678E-2</v>
      </c>
      <c r="G672" s="112"/>
      <c r="H672" s="113"/>
    </row>
    <row r="673" spans="2:8" hidden="1" outlineLevel="2" x14ac:dyDescent="0.3">
      <c r="B673" s="130"/>
      <c r="C673" s="141"/>
      <c r="D673" s="106" t="s">
        <v>261</v>
      </c>
      <c r="E673" s="107">
        <v>41.63</v>
      </c>
      <c r="F673" s="74">
        <f t="shared" si="40"/>
        <v>3.173018292682927E-3</v>
      </c>
      <c r="G673" s="112"/>
      <c r="H673" s="118"/>
    </row>
    <row r="674" spans="2:8" hidden="1" outlineLevel="2" x14ac:dyDescent="0.3">
      <c r="B674" s="130"/>
      <c r="C674" s="141"/>
      <c r="D674" s="54" t="s">
        <v>262</v>
      </c>
      <c r="E674" s="55">
        <v>23.76</v>
      </c>
      <c r="F674" s="74">
        <f t="shared" si="40"/>
        <v>1.8109756097560974E-3</v>
      </c>
      <c r="G674" s="112"/>
      <c r="H674" s="113"/>
    </row>
    <row r="675" spans="2:8" hidden="1" outlineLevel="2" x14ac:dyDescent="0.3">
      <c r="B675" s="130"/>
      <c r="C675" s="141"/>
      <c r="F675" s="74">
        <f t="shared" si="40"/>
        <v>0</v>
      </c>
      <c r="H675" s="113"/>
    </row>
    <row r="676" spans="2:8" hidden="1" outlineLevel="2" x14ac:dyDescent="0.3">
      <c r="B676" s="130"/>
      <c r="C676" s="141"/>
      <c r="F676" s="74">
        <f t="shared" si="40"/>
        <v>0</v>
      </c>
      <c r="H676" s="113"/>
    </row>
    <row r="677" spans="2:8" hidden="1" outlineLevel="2" x14ac:dyDescent="0.3">
      <c r="B677" s="130"/>
      <c r="C677" s="141"/>
      <c r="F677" s="74">
        <f t="shared" si="40"/>
        <v>0</v>
      </c>
      <c r="H677" s="7"/>
    </row>
    <row r="678" spans="2:8" hidden="1" outlineLevel="2" x14ac:dyDescent="0.3">
      <c r="B678" s="130"/>
      <c r="C678" s="141"/>
      <c r="F678" s="74">
        <f t="shared" si="40"/>
        <v>0</v>
      </c>
      <c r="H678" s="7"/>
    </row>
    <row r="679" spans="2:8" hidden="1" outlineLevel="2" x14ac:dyDescent="0.3">
      <c r="B679" s="130"/>
      <c r="C679" s="141"/>
      <c r="D679" s="109"/>
      <c r="E679" s="110"/>
      <c r="F679" s="74">
        <f t="shared" si="40"/>
        <v>0</v>
      </c>
      <c r="H679" s="7"/>
    </row>
    <row r="680" spans="2:8" hidden="1" outlineLevel="1" collapsed="1" x14ac:dyDescent="0.3">
      <c r="B680" s="130"/>
      <c r="C680" s="141"/>
      <c r="D680" s="1" t="s">
        <v>15</v>
      </c>
      <c r="E680" s="16">
        <f>SUM(E681:E686)</f>
        <v>290</v>
      </c>
      <c r="F680" s="74">
        <f t="shared" si="40"/>
        <v>2.2103658536585368E-2</v>
      </c>
      <c r="G680" s="6">
        <v>0.04</v>
      </c>
      <c r="H680" s="7">
        <v>570</v>
      </c>
    </row>
    <row r="681" spans="2:8" hidden="1" outlineLevel="2" x14ac:dyDescent="0.25">
      <c r="B681" s="130"/>
      <c r="C681" s="141"/>
      <c r="D681" s="62" t="s">
        <v>260</v>
      </c>
      <c r="E681" s="63">
        <v>290</v>
      </c>
      <c r="F681" s="102"/>
      <c r="G681" s="6"/>
      <c r="H681" s="7"/>
    </row>
    <row r="682" spans="2:8" hidden="1" outlineLevel="2" x14ac:dyDescent="0.25">
      <c r="B682" s="130"/>
      <c r="C682" s="141"/>
      <c r="D682" s="62"/>
      <c r="E682" s="63"/>
      <c r="G682" s="6"/>
      <c r="H682" s="7"/>
    </row>
    <row r="683" spans="2:8" hidden="1" outlineLevel="2" x14ac:dyDescent="0.25">
      <c r="B683" s="130"/>
      <c r="C683" s="141"/>
      <c r="D683" s="103"/>
      <c r="E683" s="104"/>
      <c r="F683" s="119"/>
      <c r="G683" s="120"/>
      <c r="H683" s="7"/>
    </row>
    <row r="684" spans="2:8" hidden="1" outlineLevel="2" x14ac:dyDescent="0.3">
      <c r="B684" s="130"/>
      <c r="C684" s="141"/>
      <c r="D684" s="121"/>
      <c r="E684" s="122"/>
      <c r="F684" s="119"/>
      <c r="G684" s="120"/>
      <c r="H684" s="7"/>
    </row>
    <row r="685" spans="2:8" hidden="1" outlineLevel="2" x14ac:dyDescent="0.25">
      <c r="B685" s="130"/>
      <c r="C685" s="141"/>
      <c r="D685" s="103"/>
      <c r="E685" s="104"/>
      <c r="F685" s="115"/>
      <c r="G685" s="116"/>
      <c r="H685" s="70"/>
    </row>
    <row r="686" spans="2:8" hidden="1" outlineLevel="2" x14ac:dyDescent="0.3">
      <c r="B686" s="130"/>
      <c r="C686" s="141"/>
      <c r="D686" s="109"/>
      <c r="E686" s="110"/>
      <c r="F686" s="101"/>
      <c r="G686" s="6"/>
      <c r="H686" s="7"/>
    </row>
    <row r="687" spans="2:8" ht="14.4" hidden="1" outlineLevel="1" thickBot="1" x14ac:dyDescent="0.35">
      <c r="B687" s="130"/>
      <c r="C687" s="142"/>
      <c r="D687" s="11"/>
      <c r="E687" s="17">
        <f>E680+E671</f>
        <v>646.34999999999991</v>
      </c>
      <c r="F687" s="80">
        <f>E687*100/$E$107*0.01</f>
        <v>3.0858377069459157E-2</v>
      </c>
      <c r="G687" s="12">
        <f>G671+G680</f>
        <v>0.08</v>
      </c>
      <c r="H687" s="71">
        <f>H680+H671</f>
        <v>1140</v>
      </c>
    </row>
    <row r="688" spans="2:8" ht="14.4" hidden="1" outlineLevel="1" thickTop="1" x14ac:dyDescent="0.3">
      <c r="B688" s="130"/>
      <c r="C688" s="143" t="s">
        <v>61</v>
      </c>
      <c r="D688" s="13" t="s">
        <v>20</v>
      </c>
      <c r="E688" s="14"/>
      <c r="F688" s="74">
        <f>E688*100/$E$660*0.01</f>
        <v>0</v>
      </c>
      <c r="G688" s="15">
        <v>0.05</v>
      </c>
      <c r="H688" s="72">
        <v>1200</v>
      </c>
    </row>
    <row r="689" spans="2:10" hidden="1" outlineLevel="1" x14ac:dyDescent="0.3">
      <c r="B689" s="130"/>
      <c r="C689" s="144"/>
      <c r="D689" s="1" t="s">
        <v>21</v>
      </c>
      <c r="E689" s="5"/>
      <c r="F689" s="74">
        <f t="shared" ref="F689:F695" si="41">E689*100/$E$660*0.01</f>
        <v>0</v>
      </c>
      <c r="G689" s="3">
        <v>0.02</v>
      </c>
      <c r="H689" s="7">
        <v>500</v>
      </c>
    </row>
    <row r="690" spans="2:10" hidden="1" outlineLevel="1" x14ac:dyDescent="0.3">
      <c r="B690" s="130"/>
      <c r="C690" s="144"/>
      <c r="D690" s="1" t="s">
        <v>22</v>
      </c>
      <c r="E690" s="5"/>
      <c r="F690" s="74">
        <f t="shared" si="41"/>
        <v>0</v>
      </c>
      <c r="G690" s="3">
        <v>0.02</v>
      </c>
      <c r="H690" s="7">
        <v>350</v>
      </c>
    </row>
    <row r="691" spans="2:10" hidden="1" outlineLevel="1" x14ac:dyDescent="0.3">
      <c r="B691" s="130"/>
      <c r="C691" s="144"/>
      <c r="D691" s="1" t="s">
        <v>23</v>
      </c>
      <c r="E691" s="5"/>
      <c r="F691" s="74">
        <f t="shared" si="41"/>
        <v>0</v>
      </c>
      <c r="G691" s="3">
        <v>0.01</v>
      </c>
      <c r="H691" s="7">
        <v>300</v>
      </c>
    </row>
    <row r="692" spans="2:10" hidden="1" outlineLevel="1" x14ac:dyDescent="0.3">
      <c r="B692" s="130"/>
      <c r="C692" s="144"/>
      <c r="D692" s="1" t="s">
        <v>24</v>
      </c>
      <c r="E692" s="5"/>
      <c r="F692" s="74">
        <f t="shared" si="41"/>
        <v>0</v>
      </c>
      <c r="G692" s="3">
        <v>0.01</v>
      </c>
      <c r="H692" s="7">
        <v>150</v>
      </c>
    </row>
    <row r="693" spans="2:10" hidden="1" outlineLevel="1" x14ac:dyDescent="0.3">
      <c r="B693" s="130"/>
      <c r="C693" s="144"/>
      <c r="D693" s="1" t="s">
        <v>128</v>
      </c>
      <c r="E693" s="5"/>
      <c r="F693" s="74">
        <f t="shared" si="41"/>
        <v>0</v>
      </c>
      <c r="G693" s="3">
        <v>0.01</v>
      </c>
      <c r="H693" s="7">
        <v>150</v>
      </c>
    </row>
    <row r="694" spans="2:10" hidden="1" outlineLevel="1" x14ac:dyDescent="0.3">
      <c r="B694" s="130"/>
      <c r="C694" s="144"/>
      <c r="D694" s="1" t="s">
        <v>19</v>
      </c>
      <c r="E694" s="5"/>
      <c r="F694" s="74">
        <f t="shared" si="41"/>
        <v>0</v>
      </c>
      <c r="G694" s="3">
        <v>0.02</v>
      </c>
      <c r="H694" s="7">
        <v>500</v>
      </c>
    </row>
    <row r="695" spans="2:10" ht="14.4" hidden="1" outlineLevel="1" thickBot="1" x14ac:dyDescent="0.35">
      <c r="B695" s="130"/>
      <c r="C695" s="144"/>
      <c r="D695" s="11" t="s">
        <v>16</v>
      </c>
      <c r="E695" s="9">
        <f>SUM(E688:E694)</f>
        <v>0</v>
      </c>
      <c r="F695" s="82">
        <f t="shared" si="41"/>
        <v>0</v>
      </c>
      <c r="G695" s="10">
        <v>0.2</v>
      </c>
      <c r="H695" s="71">
        <f>SUM(H688:H694)</f>
        <v>3150</v>
      </c>
    </row>
    <row r="696" spans="2:10" ht="15" hidden="1" outlineLevel="1" thickTop="1" thickBot="1" x14ac:dyDescent="0.35">
      <c r="B696" s="131"/>
      <c r="C696" s="42"/>
      <c r="D696" s="42"/>
      <c r="E696" s="43" t="s">
        <v>78</v>
      </c>
      <c r="F696" s="83">
        <f>SUM(F695,F687,F670)</f>
        <v>0.74850166975238608</v>
      </c>
      <c r="G696" s="66"/>
      <c r="H696" s="73"/>
      <c r="J696" s="31" t="s">
        <v>72</v>
      </c>
    </row>
    <row r="697" spans="2:10" collapsed="1" x14ac:dyDescent="0.3">
      <c r="B697" s="84" t="s">
        <v>263</v>
      </c>
      <c r="C697" s="85"/>
      <c r="D697" s="85"/>
      <c r="E697" s="40"/>
      <c r="F697" s="77"/>
      <c r="G697" s="86"/>
      <c r="H697" s="44"/>
      <c r="J697" s="32">
        <f>E704-E714</f>
        <v>3704.5200000000004</v>
      </c>
    </row>
    <row r="698" spans="2:10" hidden="1" outlineLevel="1" x14ac:dyDescent="0.3">
      <c r="B698" s="130" t="s">
        <v>263</v>
      </c>
      <c r="C698" s="132" t="s">
        <v>6</v>
      </c>
      <c r="D698" s="1" t="s">
        <v>0</v>
      </c>
      <c r="E698" s="5">
        <v>7000</v>
      </c>
      <c r="F698" s="74">
        <f>E698*100/$E$704*0.01</f>
        <v>0.53353658536585369</v>
      </c>
      <c r="H698" s="7"/>
      <c r="J698" s="32"/>
    </row>
    <row r="699" spans="2:10" hidden="1" outlineLevel="1" x14ac:dyDescent="0.3">
      <c r="B699" s="130"/>
      <c r="C699" s="132"/>
      <c r="D699" s="1" t="s">
        <v>9</v>
      </c>
      <c r="E699" s="5">
        <v>120</v>
      </c>
      <c r="F699" s="74">
        <f t="shared" ref="F699:F703" si="42">E699*100/$E$704*0.01</f>
        <v>9.1463414634146353E-3</v>
      </c>
      <c r="H699" s="7"/>
      <c r="J699" s="33" t="s">
        <v>74</v>
      </c>
    </row>
    <row r="700" spans="2:10" hidden="1" outlineLevel="1" x14ac:dyDescent="0.3">
      <c r="B700" s="130"/>
      <c r="C700" s="132"/>
      <c r="D700" s="1" t="s">
        <v>10</v>
      </c>
      <c r="E700" s="5">
        <v>500</v>
      </c>
      <c r="F700" s="74">
        <f t="shared" si="42"/>
        <v>3.8109756097560975E-2</v>
      </c>
      <c r="H700" s="7"/>
      <c r="J700" s="32">
        <f>E704-(E714+H731)</f>
        <v>2564.5200000000004</v>
      </c>
    </row>
    <row r="701" spans="2:10" hidden="1" outlineLevel="1" x14ac:dyDescent="0.3">
      <c r="B701" s="130"/>
      <c r="C701" s="132"/>
      <c r="D701" s="1" t="s">
        <v>1</v>
      </c>
      <c r="E701" s="5">
        <v>5500</v>
      </c>
      <c r="F701" s="74">
        <f t="shared" si="42"/>
        <v>0.41920731707317077</v>
      </c>
      <c r="H701" s="7"/>
      <c r="J701" s="34"/>
    </row>
    <row r="702" spans="2:10" hidden="1" outlineLevel="1" x14ac:dyDescent="0.3">
      <c r="B702" s="130"/>
      <c r="C702" s="132"/>
      <c r="F702" s="74">
        <f t="shared" si="42"/>
        <v>0</v>
      </c>
      <c r="H702" s="7"/>
      <c r="J702" s="35" t="s">
        <v>75</v>
      </c>
    </row>
    <row r="703" spans="2:10" hidden="1" outlineLevel="1" x14ac:dyDescent="0.3">
      <c r="B703" s="130"/>
      <c r="C703" s="132"/>
      <c r="E703" s="5"/>
      <c r="F703" s="74">
        <f t="shared" si="42"/>
        <v>0</v>
      </c>
      <c r="H703" s="7"/>
      <c r="J703" s="32">
        <f>E704-E714-E731-E739</f>
        <v>3680.76</v>
      </c>
    </row>
    <row r="704" spans="2:10" ht="14.4" hidden="1" outlineLevel="1" thickBot="1" x14ac:dyDescent="0.35">
      <c r="B704" s="130"/>
      <c r="C704" s="133"/>
      <c r="D704" s="8"/>
      <c r="E704" s="9">
        <f>SUM(E698:E703)</f>
        <v>13120</v>
      </c>
      <c r="F704" s="78"/>
      <c r="G704" s="10"/>
      <c r="H704" s="68"/>
      <c r="J704" s="36"/>
    </row>
    <row r="705" spans="2:10" ht="15" hidden="1" outlineLevel="1" thickTop="1" thickBot="1" x14ac:dyDescent="0.35">
      <c r="B705" s="130"/>
      <c r="C705" s="52" t="s">
        <v>77</v>
      </c>
      <c r="D705" s="49" t="s">
        <v>66</v>
      </c>
      <c r="E705" s="50"/>
      <c r="F705" s="79">
        <f>E705*100/$E$704*0.01</f>
        <v>0</v>
      </c>
      <c r="G705" s="51"/>
      <c r="H705" s="69"/>
      <c r="J705" s="37" t="s">
        <v>76</v>
      </c>
    </row>
    <row r="706" spans="2:10" hidden="1" outlineLevel="1" x14ac:dyDescent="0.3">
      <c r="B706" s="130"/>
      <c r="C706" s="134" t="s">
        <v>7</v>
      </c>
      <c r="D706" s="1" t="s">
        <v>2</v>
      </c>
      <c r="E706" s="5">
        <v>4605.3500000000004</v>
      </c>
      <c r="F706" s="74">
        <f>E706*100/$E$704*0.01</f>
        <v>0.35101753048780493</v>
      </c>
      <c r="G706" s="136">
        <v>0.6</v>
      </c>
      <c r="H706" s="138">
        <f>E704*60%</f>
        <v>7872</v>
      </c>
      <c r="J706" s="38">
        <f>SUM(E714,E731,E739)</f>
        <v>9439.24</v>
      </c>
    </row>
    <row r="707" spans="2:10" hidden="1" outlineLevel="1" x14ac:dyDescent="0.3">
      <c r="B707" s="130"/>
      <c r="C707" s="134"/>
      <c r="D707" s="1" t="s">
        <v>3</v>
      </c>
      <c r="E707" s="5">
        <v>1450</v>
      </c>
      <c r="F707" s="74">
        <f t="shared" ref="F707:F713" si="43">E707*100/$E$704*0.01</f>
        <v>0.11051829268292684</v>
      </c>
      <c r="G707" s="136"/>
      <c r="H707" s="138"/>
    </row>
    <row r="708" spans="2:10" hidden="1" outlineLevel="1" x14ac:dyDescent="0.3">
      <c r="B708" s="130"/>
      <c r="C708" s="134"/>
      <c r="D708" s="1" t="s">
        <v>4</v>
      </c>
      <c r="E708" s="5">
        <v>1333.22</v>
      </c>
      <c r="F708" s="74">
        <f t="shared" si="43"/>
        <v>0.10161737804878049</v>
      </c>
      <c r="G708" s="136"/>
      <c r="H708" s="138"/>
    </row>
    <row r="709" spans="2:10" hidden="1" outlineLevel="1" x14ac:dyDescent="0.3">
      <c r="B709" s="130"/>
      <c r="C709" s="134"/>
      <c r="D709" s="1" t="s">
        <v>19</v>
      </c>
      <c r="E709" s="5">
        <v>1000</v>
      </c>
      <c r="F709" s="74">
        <f t="shared" si="43"/>
        <v>7.621951219512195E-2</v>
      </c>
      <c r="G709" s="136"/>
      <c r="H709" s="138"/>
    </row>
    <row r="710" spans="2:10" hidden="1" outlineLevel="1" x14ac:dyDescent="0.3">
      <c r="B710" s="130"/>
      <c r="C710" s="134"/>
      <c r="D710" s="1" t="s">
        <v>11</v>
      </c>
      <c r="E710" s="5">
        <v>110</v>
      </c>
      <c r="F710" s="74">
        <f t="shared" si="43"/>
        <v>8.3841463414634151E-3</v>
      </c>
      <c r="G710" s="136"/>
      <c r="H710" s="138"/>
    </row>
    <row r="711" spans="2:10" hidden="1" outlineLevel="1" x14ac:dyDescent="0.3">
      <c r="B711" s="130"/>
      <c r="C711" s="134"/>
      <c r="D711" s="1" t="s">
        <v>12</v>
      </c>
      <c r="E711" s="5">
        <v>400</v>
      </c>
      <c r="F711" s="74">
        <f t="shared" si="43"/>
        <v>3.0487804878048783E-2</v>
      </c>
      <c r="G711" s="136"/>
      <c r="H711" s="138"/>
    </row>
    <row r="712" spans="2:10" hidden="1" outlineLevel="1" x14ac:dyDescent="0.3">
      <c r="B712" s="130"/>
      <c r="C712" s="134"/>
      <c r="D712" s="1" t="s">
        <v>13</v>
      </c>
      <c r="E712" s="5">
        <v>316.91000000000003</v>
      </c>
      <c r="F712" s="74">
        <f t="shared" si="43"/>
        <v>2.4154725609756102E-2</v>
      </c>
      <c r="G712" s="136"/>
      <c r="H712" s="138"/>
      <c r="J712" s="18"/>
    </row>
    <row r="713" spans="2:10" hidden="1" outlineLevel="1" x14ac:dyDescent="0.3">
      <c r="B713" s="130"/>
      <c r="C713" s="134"/>
      <c r="D713" s="1" t="s">
        <v>5</v>
      </c>
      <c r="E713" s="5">
        <v>200</v>
      </c>
      <c r="F713" s="74">
        <f t="shared" si="43"/>
        <v>1.5243902439024392E-2</v>
      </c>
      <c r="G713" s="136"/>
      <c r="H713" s="138"/>
    </row>
    <row r="714" spans="2:10" ht="14.4" hidden="1" outlineLevel="1" thickBot="1" x14ac:dyDescent="0.35">
      <c r="B714" s="130"/>
      <c r="C714" s="135"/>
      <c r="D714" s="11"/>
      <c r="E714" s="9">
        <f>SUM(E706:E713)</f>
        <v>9415.48</v>
      </c>
      <c r="F714" s="80">
        <f>SUM(F706:F713)</f>
        <v>0.71764329268292693</v>
      </c>
      <c r="G714" s="137"/>
      <c r="H714" s="139"/>
    </row>
    <row r="715" spans="2:10" ht="23.55" hidden="1" customHeight="1" outlineLevel="1" collapsed="1" thickTop="1" x14ac:dyDescent="0.3">
      <c r="B715" s="130"/>
      <c r="C715" s="140" t="s">
        <v>60</v>
      </c>
      <c r="D715" s="13" t="s">
        <v>14</v>
      </c>
      <c r="E715" s="14">
        <f>SUM(E716:E723)</f>
        <v>23.76</v>
      </c>
      <c r="F715" s="74">
        <f>E715*100/$E$704*0.01</f>
        <v>1.8109756097560974E-3</v>
      </c>
      <c r="G715" s="15">
        <v>0.04</v>
      </c>
      <c r="H715" s="72">
        <v>570</v>
      </c>
    </row>
    <row r="716" spans="2:10" hidden="1" outlineLevel="2" x14ac:dyDescent="0.3">
      <c r="B716" s="130"/>
      <c r="C716" s="141"/>
      <c r="D716" s="106" t="s">
        <v>264</v>
      </c>
      <c r="E716" s="107">
        <v>23.76</v>
      </c>
      <c r="F716" s="74">
        <f t="shared" ref="F716:F724" si="44">E716*100/$E$704*0.01</f>
        <v>1.8109756097560974E-3</v>
      </c>
      <c r="G716" s="114"/>
      <c r="H716" s="113"/>
    </row>
    <row r="717" spans="2:10" hidden="1" outlineLevel="2" x14ac:dyDescent="0.3">
      <c r="B717" s="130"/>
      <c r="C717" s="141"/>
      <c r="D717" s="106"/>
      <c r="E717" s="107"/>
      <c r="F717" s="74">
        <f t="shared" si="44"/>
        <v>0</v>
      </c>
      <c r="G717" s="112"/>
      <c r="H717" s="118"/>
    </row>
    <row r="718" spans="2:10" hidden="1" outlineLevel="2" x14ac:dyDescent="0.3">
      <c r="B718" s="130"/>
      <c r="C718" s="141"/>
      <c r="F718" s="74">
        <f t="shared" si="44"/>
        <v>0</v>
      </c>
      <c r="H718" s="113"/>
    </row>
    <row r="719" spans="2:10" hidden="1" outlineLevel="2" x14ac:dyDescent="0.3">
      <c r="B719" s="130"/>
      <c r="C719" s="141"/>
      <c r="F719" s="74">
        <f t="shared" si="44"/>
        <v>0</v>
      </c>
      <c r="H719" s="113"/>
    </row>
    <row r="720" spans="2:10" hidden="1" outlineLevel="2" x14ac:dyDescent="0.3">
      <c r="B720" s="130"/>
      <c r="C720" s="141"/>
      <c r="F720" s="74">
        <f t="shared" si="44"/>
        <v>0</v>
      </c>
      <c r="H720" s="113"/>
    </row>
    <row r="721" spans="2:9" hidden="1" outlineLevel="2" x14ac:dyDescent="0.3">
      <c r="B721" s="130"/>
      <c r="C721" s="141"/>
      <c r="F721" s="74">
        <f t="shared" si="44"/>
        <v>0</v>
      </c>
      <c r="H721" s="7"/>
    </row>
    <row r="722" spans="2:9" hidden="1" outlineLevel="2" x14ac:dyDescent="0.3">
      <c r="B722" s="130"/>
      <c r="C722" s="141"/>
      <c r="F722" s="74">
        <f t="shared" si="44"/>
        <v>0</v>
      </c>
      <c r="H722" s="7"/>
    </row>
    <row r="723" spans="2:9" hidden="1" outlineLevel="2" x14ac:dyDescent="0.3">
      <c r="B723" s="130"/>
      <c r="C723" s="141"/>
      <c r="D723" s="109"/>
      <c r="E723" s="110"/>
      <c r="F723" s="74">
        <f t="shared" si="44"/>
        <v>0</v>
      </c>
      <c r="H723" s="7"/>
    </row>
    <row r="724" spans="2:9" hidden="1" outlineLevel="1" collapsed="1" x14ac:dyDescent="0.3">
      <c r="B724" s="130"/>
      <c r="C724" s="141"/>
      <c r="D724" s="1" t="s">
        <v>15</v>
      </c>
      <c r="E724" s="16">
        <f>SUM(E725:E730)</f>
        <v>0</v>
      </c>
      <c r="F724" s="74">
        <f t="shared" si="44"/>
        <v>0</v>
      </c>
      <c r="G724" s="6">
        <v>0.04</v>
      </c>
      <c r="H724" s="7">
        <v>570</v>
      </c>
    </row>
    <row r="725" spans="2:9" hidden="1" outlineLevel="2" x14ac:dyDescent="0.25">
      <c r="B725" s="130"/>
      <c r="C725" s="141"/>
      <c r="D725" s="62"/>
      <c r="E725" s="63"/>
      <c r="F725" s="102"/>
      <c r="G725" s="6"/>
      <c r="H725" s="7"/>
    </row>
    <row r="726" spans="2:9" hidden="1" outlineLevel="2" x14ac:dyDescent="0.25">
      <c r="B726" s="130"/>
      <c r="C726" s="141"/>
      <c r="D726" s="62"/>
      <c r="E726" s="63"/>
      <c r="G726" s="6"/>
      <c r="H726" s="7"/>
    </row>
    <row r="727" spans="2:9" hidden="1" outlineLevel="2" x14ac:dyDescent="0.25">
      <c r="B727" s="130"/>
      <c r="C727" s="141"/>
      <c r="D727" s="103"/>
      <c r="E727" s="104"/>
      <c r="F727" s="119"/>
      <c r="G727" s="120"/>
      <c r="H727" s="7"/>
    </row>
    <row r="728" spans="2:9" hidden="1" outlineLevel="2" x14ac:dyDescent="0.3">
      <c r="B728" s="130"/>
      <c r="C728" s="141"/>
      <c r="D728" s="121"/>
      <c r="E728" s="122"/>
      <c r="F728" s="119"/>
      <c r="G728" s="120"/>
      <c r="H728" s="7"/>
    </row>
    <row r="729" spans="2:9" hidden="1" outlineLevel="2" x14ac:dyDescent="0.25">
      <c r="B729" s="130"/>
      <c r="C729" s="141"/>
      <c r="D729" s="103"/>
      <c r="E729" s="104"/>
      <c r="F729" s="115"/>
      <c r="G729" s="116"/>
      <c r="H729" s="70"/>
    </row>
    <row r="730" spans="2:9" hidden="1" outlineLevel="2" x14ac:dyDescent="0.3">
      <c r="B730" s="130"/>
      <c r="C730" s="141"/>
      <c r="D730" s="109"/>
      <c r="E730" s="110"/>
      <c r="F730" s="101"/>
      <c r="G730" s="6"/>
      <c r="H730" s="7"/>
    </row>
    <row r="731" spans="2:9" ht="14.4" hidden="1" outlineLevel="1" thickBot="1" x14ac:dyDescent="0.35">
      <c r="B731" s="130"/>
      <c r="C731" s="142"/>
      <c r="D731" s="11"/>
      <c r="E731" s="17">
        <f>E724+E715</f>
        <v>23.76</v>
      </c>
      <c r="F731" s="80">
        <f>E731*100/$E$704*0.01</f>
        <v>1.8109756097560974E-3</v>
      </c>
      <c r="G731" s="12">
        <f>G715+G724</f>
        <v>0.08</v>
      </c>
      <c r="H731" s="71">
        <f>H724+H715</f>
        <v>1140</v>
      </c>
      <c r="I731" s="18"/>
    </row>
    <row r="732" spans="2:9" ht="14.4" hidden="1" outlineLevel="1" thickTop="1" x14ac:dyDescent="0.3">
      <c r="B732" s="130"/>
      <c r="C732" s="143" t="s">
        <v>61</v>
      </c>
      <c r="D732" s="13" t="s">
        <v>20</v>
      </c>
      <c r="E732" s="14"/>
      <c r="F732" s="74">
        <f>E732*100/$E$704*0.01</f>
        <v>0</v>
      </c>
      <c r="G732" s="15">
        <v>0.05</v>
      </c>
      <c r="H732" s="72">
        <v>1200</v>
      </c>
    </row>
    <row r="733" spans="2:9" hidden="1" outlineLevel="1" x14ac:dyDescent="0.3">
      <c r="B733" s="130"/>
      <c r="C733" s="144"/>
      <c r="D733" s="1" t="s">
        <v>21</v>
      </c>
      <c r="E733" s="5"/>
      <c r="F733" s="74">
        <f t="shared" ref="F733:F739" si="45">E733*100/$E$704*0.01</f>
        <v>0</v>
      </c>
      <c r="G733" s="3">
        <v>0.02</v>
      </c>
      <c r="H733" s="7">
        <v>500</v>
      </c>
    </row>
    <row r="734" spans="2:9" hidden="1" outlineLevel="1" x14ac:dyDescent="0.3">
      <c r="B734" s="130"/>
      <c r="C734" s="144"/>
      <c r="D734" s="1" t="s">
        <v>22</v>
      </c>
      <c r="E734" s="5"/>
      <c r="F734" s="74">
        <f t="shared" si="45"/>
        <v>0</v>
      </c>
      <c r="G734" s="3">
        <v>0.02</v>
      </c>
      <c r="H734" s="7">
        <v>350</v>
      </c>
    </row>
    <row r="735" spans="2:9" hidden="1" outlineLevel="1" x14ac:dyDescent="0.3">
      <c r="B735" s="130"/>
      <c r="C735" s="144"/>
      <c r="D735" s="1" t="s">
        <v>23</v>
      </c>
      <c r="E735" s="5"/>
      <c r="F735" s="74">
        <f t="shared" si="45"/>
        <v>0</v>
      </c>
      <c r="G735" s="3">
        <v>0.01</v>
      </c>
      <c r="H735" s="7">
        <v>300</v>
      </c>
    </row>
    <row r="736" spans="2:9" hidden="1" outlineLevel="1" x14ac:dyDescent="0.3">
      <c r="B736" s="130"/>
      <c r="C736" s="144"/>
      <c r="D736" s="1" t="s">
        <v>24</v>
      </c>
      <c r="E736" s="5"/>
      <c r="F736" s="74">
        <f t="shared" si="45"/>
        <v>0</v>
      </c>
      <c r="G736" s="3">
        <v>0.01</v>
      </c>
      <c r="H736" s="7">
        <v>150</v>
      </c>
    </row>
    <row r="737" spans="2:10" hidden="1" outlineLevel="1" x14ac:dyDescent="0.3">
      <c r="B737" s="130"/>
      <c r="C737" s="144"/>
      <c r="D737" s="1" t="s">
        <v>128</v>
      </c>
      <c r="E737" s="5"/>
      <c r="F737" s="74">
        <f t="shared" si="45"/>
        <v>0</v>
      </c>
      <c r="G737" s="3">
        <v>0.01</v>
      </c>
      <c r="H737" s="7">
        <v>150</v>
      </c>
    </row>
    <row r="738" spans="2:10" hidden="1" outlineLevel="1" x14ac:dyDescent="0.3">
      <c r="B738" s="130"/>
      <c r="C738" s="144"/>
      <c r="D738" s="1" t="s">
        <v>19</v>
      </c>
      <c r="E738" s="5"/>
      <c r="F738" s="74">
        <f t="shared" si="45"/>
        <v>0</v>
      </c>
      <c r="G738" s="3">
        <v>0.02</v>
      </c>
      <c r="H738" s="7">
        <v>500</v>
      </c>
    </row>
    <row r="739" spans="2:10" ht="14.4" hidden="1" outlineLevel="1" thickBot="1" x14ac:dyDescent="0.35">
      <c r="B739" s="130"/>
      <c r="C739" s="144"/>
      <c r="D739" s="11" t="s">
        <v>16</v>
      </c>
      <c r="E739" s="9">
        <f>SUM(E732:E738)</f>
        <v>0</v>
      </c>
      <c r="F739" s="82">
        <f t="shared" si="45"/>
        <v>0</v>
      </c>
      <c r="G739" s="10">
        <v>0.2</v>
      </c>
      <c r="H739" s="71">
        <f>SUM(H732:H738)</f>
        <v>3150</v>
      </c>
    </row>
    <row r="740" spans="2:10" ht="15" hidden="1" outlineLevel="1" thickTop="1" thickBot="1" x14ac:dyDescent="0.35">
      <c r="B740" s="131"/>
      <c r="C740" s="42"/>
      <c r="D740" s="42"/>
      <c r="E740" s="43" t="s">
        <v>78</v>
      </c>
      <c r="F740" s="83">
        <f>SUM(F739,F731,F714)</f>
        <v>0.719454268292683</v>
      </c>
      <c r="G740" s="66"/>
      <c r="H740" s="73"/>
      <c r="J740" s="31" t="s">
        <v>72</v>
      </c>
    </row>
    <row r="741" spans="2:10" collapsed="1" x14ac:dyDescent="0.3">
      <c r="B741" s="84" t="s">
        <v>266</v>
      </c>
      <c r="C741" s="85"/>
      <c r="D741" s="85"/>
      <c r="E741" s="40"/>
      <c r="F741" s="77"/>
      <c r="G741" s="86"/>
      <c r="H741" s="44"/>
      <c r="J741" s="32">
        <f>E748-E758</f>
        <v>3704.5200000000004</v>
      </c>
    </row>
    <row r="742" spans="2:10" hidden="1" outlineLevel="1" x14ac:dyDescent="0.3">
      <c r="B742" s="130" t="s">
        <v>65</v>
      </c>
      <c r="C742" s="132" t="s">
        <v>6</v>
      </c>
      <c r="D742" s="1" t="s">
        <v>0</v>
      </c>
      <c r="E742" s="5">
        <v>7000</v>
      </c>
      <c r="F742" s="74">
        <f>E742*100/$E$748*0.01</f>
        <v>0.53353658536585369</v>
      </c>
      <c r="H742" s="7"/>
      <c r="J742" s="32"/>
    </row>
    <row r="743" spans="2:10" hidden="1" outlineLevel="1" x14ac:dyDescent="0.3">
      <c r="B743" s="130"/>
      <c r="C743" s="132"/>
      <c r="D743" s="1" t="s">
        <v>9</v>
      </c>
      <c r="E743" s="5">
        <v>120</v>
      </c>
      <c r="F743" s="74">
        <f t="shared" ref="F743:F747" si="46">E743*100/$E$748*0.01</f>
        <v>9.1463414634146353E-3</v>
      </c>
      <c r="H743" s="7"/>
      <c r="J743" s="33" t="s">
        <v>74</v>
      </c>
    </row>
    <row r="744" spans="2:10" hidden="1" outlineLevel="1" x14ac:dyDescent="0.3">
      <c r="B744" s="130"/>
      <c r="C744" s="132"/>
      <c r="D744" s="1" t="s">
        <v>10</v>
      </c>
      <c r="E744" s="5">
        <v>500</v>
      </c>
      <c r="F744" s="74">
        <f t="shared" si="46"/>
        <v>3.8109756097560975E-2</v>
      </c>
      <c r="H744" s="7"/>
      <c r="J744" s="32">
        <f>E748-(E758+H775)</f>
        <v>2564.5200000000004</v>
      </c>
    </row>
    <row r="745" spans="2:10" hidden="1" outlineLevel="1" x14ac:dyDescent="0.3">
      <c r="B745" s="130"/>
      <c r="C745" s="132"/>
      <c r="D745" s="1" t="s">
        <v>1</v>
      </c>
      <c r="E745" s="5">
        <v>5500</v>
      </c>
      <c r="F745" s="74">
        <f t="shared" si="46"/>
        <v>0.41920731707317077</v>
      </c>
      <c r="H745" s="7"/>
      <c r="J745" s="34"/>
    </row>
    <row r="746" spans="2:10" hidden="1" outlineLevel="1" x14ac:dyDescent="0.3">
      <c r="B746" s="130"/>
      <c r="C746" s="132"/>
      <c r="F746" s="74">
        <f t="shared" si="46"/>
        <v>0</v>
      </c>
      <c r="H746" s="7"/>
      <c r="J746" s="35" t="s">
        <v>75</v>
      </c>
    </row>
    <row r="747" spans="2:10" hidden="1" outlineLevel="1" x14ac:dyDescent="0.3">
      <c r="B747" s="130"/>
      <c r="C747" s="132"/>
      <c r="E747" s="5"/>
      <c r="F747" s="74">
        <f t="shared" si="46"/>
        <v>0</v>
      </c>
      <c r="H747" s="7"/>
      <c r="J747" s="32">
        <f>E748-E758-E775-E783</f>
        <v>3704.5200000000004</v>
      </c>
    </row>
    <row r="748" spans="2:10" ht="14.4" hidden="1" outlineLevel="1" thickBot="1" x14ac:dyDescent="0.35">
      <c r="B748" s="130"/>
      <c r="C748" s="133"/>
      <c r="D748" s="8"/>
      <c r="E748" s="9">
        <f>SUM(E742:E747)</f>
        <v>13120</v>
      </c>
      <c r="F748" s="78"/>
      <c r="G748" s="10"/>
      <c r="H748" s="68"/>
      <c r="J748" s="36"/>
    </row>
    <row r="749" spans="2:10" ht="15" hidden="1" outlineLevel="1" thickTop="1" thickBot="1" x14ac:dyDescent="0.35">
      <c r="B749" s="130"/>
      <c r="C749" s="52" t="s">
        <v>77</v>
      </c>
      <c r="D749" s="49" t="s">
        <v>66</v>
      </c>
      <c r="E749" s="50"/>
      <c r="F749" s="79">
        <f>E749*100/$E$748*0.01</f>
        <v>0</v>
      </c>
      <c r="G749" s="51"/>
      <c r="H749" s="69"/>
      <c r="J749" s="37" t="s">
        <v>76</v>
      </c>
    </row>
    <row r="750" spans="2:10" hidden="1" outlineLevel="1" x14ac:dyDescent="0.3">
      <c r="B750" s="130"/>
      <c r="C750" s="134" t="s">
        <v>7</v>
      </c>
      <c r="D750" s="1" t="s">
        <v>2</v>
      </c>
      <c r="E750" s="5">
        <v>4605.3500000000004</v>
      </c>
      <c r="F750" s="74">
        <f>E750*100/$E$748*0.01</f>
        <v>0.35101753048780493</v>
      </c>
      <c r="G750" s="136">
        <v>0.6</v>
      </c>
      <c r="H750" s="138">
        <f>E748*60%</f>
        <v>7872</v>
      </c>
      <c r="J750" s="38">
        <f>SUM(E758,E775,E783)</f>
        <v>9415.48</v>
      </c>
    </row>
    <row r="751" spans="2:10" hidden="1" outlineLevel="1" x14ac:dyDescent="0.3">
      <c r="B751" s="130"/>
      <c r="C751" s="134"/>
      <c r="D751" s="1" t="s">
        <v>3</v>
      </c>
      <c r="E751" s="5">
        <v>1450</v>
      </c>
      <c r="F751" s="74">
        <f t="shared" ref="F751:F757" si="47">E751*100/$E$748*0.01</f>
        <v>0.11051829268292684</v>
      </c>
      <c r="G751" s="136"/>
      <c r="H751" s="138"/>
    </row>
    <row r="752" spans="2:10" hidden="1" outlineLevel="1" x14ac:dyDescent="0.3">
      <c r="B752" s="130"/>
      <c r="C752" s="134"/>
      <c r="D752" s="1" t="s">
        <v>4</v>
      </c>
      <c r="E752" s="5">
        <v>1333.22</v>
      </c>
      <c r="F752" s="74">
        <f t="shared" si="47"/>
        <v>0.10161737804878049</v>
      </c>
      <c r="G752" s="136"/>
      <c r="H752" s="138"/>
    </row>
    <row r="753" spans="2:10" hidden="1" outlineLevel="1" x14ac:dyDescent="0.3">
      <c r="B753" s="130"/>
      <c r="C753" s="134"/>
      <c r="D753" s="1" t="s">
        <v>19</v>
      </c>
      <c r="E753" s="5">
        <v>1000</v>
      </c>
      <c r="F753" s="74">
        <f t="shared" si="47"/>
        <v>7.621951219512195E-2</v>
      </c>
      <c r="G753" s="136"/>
      <c r="H753" s="138"/>
    </row>
    <row r="754" spans="2:10" hidden="1" outlineLevel="1" x14ac:dyDescent="0.3">
      <c r="B754" s="130"/>
      <c r="C754" s="134"/>
      <c r="D754" s="1" t="s">
        <v>11</v>
      </c>
      <c r="E754" s="5">
        <v>110</v>
      </c>
      <c r="F754" s="74">
        <f t="shared" si="47"/>
        <v>8.3841463414634151E-3</v>
      </c>
      <c r="G754" s="136"/>
      <c r="H754" s="138"/>
    </row>
    <row r="755" spans="2:10" hidden="1" outlineLevel="1" x14ac:dyDescent="0.3">
      <c r="B755" s="130"/>
      <c r="C755" s="134"/>
      <c r="D755" s="1" t="s">
        <v>12</v>
      </c>
      <c r="E755" s="5">
        <v>400</v>
      </c>
      <c r="F755" s="74">
        <f t="shared" si="47"/>
        <v>3.0487804878048783E-2</v>
      </c>
      <c r="G755" s="136"/>
      <c r="H755" s="138"/>
    </row>
    <row r="756" spans="2:10" hidden="1" outlineLevel="1" x14ac:dyDescent="0.3">
      <c r="B756" s="130"/>
      <c r="C756" s="134"/>
      <c r="D756" s="1" t="s">
        <v>13</v>
      </c>
      <c r="E756" s="5">
        <v>316.91000000000003</v>
      </c>
      <c r="F756" s="74">
        <f t="shared" si="47"/>
        <v>2.4154725609756102E-2</v>
      </c>
      <c r="G756" s="136"/>
      <c r="H756" s="138"/>
      <c r="J756" s="18"/>
    </row>
    <row r="757" spans="2:10" hidden="1" outlineLevel="1" x14ac:dyDescent="0.3">
      <c r="B757" s="130"/>
      <c r="C757" s="134"/>
      <c r="D757" s="1" t="s">
        <v>5</v>
      </c>
      <c r="E757" s="5">
        <v>200</v>
      </c>
      <c r="F757" s="74">
        <f t="shared" si="47"/>
        <v>1.5243902439024392E-2</v>
      </c>
      <c r="G757" s="136"/>
      <c r="H757" s="138"/>
    </row>
    <row r="758" spans="2:10" ht="14.4" hidden="1" outlineLevel="1" thickBot="1" x14ac:dyDescent="0.35">
      <c r="B758" s="130"/>
      <c r="C758" s="135"/>
      <c r="D758" s="11"/>
      <c r="E758" s="9">
        <f>SUM(E750:E757)</f>
        <v>9415.48</v>
      </c>
      <c r="F758" s="80">
        <f>SUM(F750:F757)</f>
        <v>0.71764329268292693</v>
      </c>
      <c r="G758" s="137"/>
      <c r="H758" s="139"/>
    </row>
    <row r="759" spans="2:10" ht="16.95" hidden="1" customHeight="1" outlineLevel="1" collapsed="1" thickTop="1" x14ac:dyDescent="0.3">
      <c r="B759" s="130"/>
      <c r="C759" s="140" t="s">
        <v>60</v>
      </c>
      <c r="D759" s="13" t="s">
        <v>14</v>
      </c>
      <c r="E759" s="14">
        <f>SUM(E760:E767)</f>
        <v>0</v>
      </c>
      <c r="F759" s="74">
        <f>E759*100/$E$748*0.01</f>
        <v>0</v>
      </c>
      <c r="G759" s="15">
        <v>0.04</v>
      </c>
      <c r="H759" s="72">
        <v>570</v>
      </c>
    </row>
    <row r="760" spans="2:10" hidden="1" outlineLevel="2" x14ac:dyDescent="0.3">
      <c r="B760" s="130"/>
      <c r="C760" s="141"/>
      <c r="D760" s="106"/>
      <c r="E760" s="107"/>
      <c r="F760" s="74">
        <f t="shared" ref="F760:F768" si="48">E760*100/$E$748*0.01</f>
        <v>0</v>
      </c>
      <c r="G760" s="114"/>
      <c r="H760" s="113"/>
    </row>
    <row r="761" spans="2:10" hidden="1" outlineLevel="2" x14ac:dyDescent="0.3">
      <c r="B761" s="130"/>
      <c r="C761" s="141"/>
      <c r="D761" s="106"/>
      <c r="E761" s="107"/>
      <c r="F761" s="74">
        <f t="shared" si="48"/>
        <v>0</v>
      </c>
      <c r="G761" s="112"/>
      <c r="H761" s="118"/>
    </row>
    <row r="762" spans="2:10" hidden="1" outlineLevel="2" x14ac:dyDescent="0.3">
      <c r="B762" s="130"/>
      <c r="C762" s="141"/>
      <c r="F762" s="74">
        <f t="shared" si="48"/>
        <v>0</v>
      </c>
      <c r="H762" s="113"/>
    </row>
    <row r="763" spans="2:10" hidden="1" outlineLevel="2" x14ac:dyDescent="0.3">
      <c r="B763" s="130"/>
      <c r="C763" s="141"/>
      <c r="F763" s="74">
        <f t="shared" si="48"/>
        <v>0</v>
      </c>
      <c r="H763" s="113"/>
    </row>
    <row r="764" spans="2:10" hidden="1" outlineLevel="2" x14ac:dyDescent="0.3">
      <c r="B764" s="130"/>
      <c r="C764" s="141"/>
      <c r="F764" s="74">
        <f t="shared" si="48"/>
        <v>0</v>
      </c>
      <c r="H764" s="113"/>
    </row>
    <row r="765" spans="2:10" hidden="1" outlineLevel="2" x14ac:dyDescent="0.3">
      <c r="B765" s="130"/>
      <c r="C765" s="141"/>
      <c r="F765" s="74">
        <f t="shared" si="48"/>
        <v>0</v>
      </c>
      <c r="H765" s="7"/>
    </row>
    <row r="766" spans="2:10" hidden="1" outlineLevel="2" x14ac:dyDescent="0.3">
      <c r="B766" s="130"/>
      <c r="C766" s="141"/>
      <c r="F766" s="74">
        <f t="shared" si="48"/>
        <v>0</v>
      </c>
      <c r="H766" s="7"/>
    </row>
    <row r="767" spans="2:10" ht="10.050000000000001" hidden="1" customHeight="1" outlineLevel="2" x14ac:dyDescent="0.3">
      <c r="B767" s="130"/>
      <c r="C767" s="141"/>
      <c r="D767" s="109"/>
      <c r="E767" s="110"/>
      <c r="F767" s="74">
        <f t="shared" si="48"/>
        <v>0</v>
      </c>
      <c r="H767" s="7"/>
    </row>
    <row r="768" spans="2:10" hidden="1" outlineLevel="1" collapsed="1" x14ac:dyDescent="0.3">
      <c r="B768" s="130"/>
      <c r="C768" s="141"/>
      <c r="D768" s="1" t="s">
        <v>15</v>
      </c>
      <c r="E768" s="16">
        <f>SUM(E769:E774)</f>
        <v>0</v>
      </c>
      <c r="F768" s="74">
        <f t="shared" si="48"/>
        <v>0</v>
      </c>
      <c r="G768" s="6">
        <v>0.04</v>
      </c>
      <c r="H768" s="7">
        <v>570</v>
      </c>
    </row>
    <row r="769" spans="2:10" hidden="1" outlineLevel="2" x14ac:dyDescent="0.25">
      <c r="B769" s="130"/>
      <c r="C769" s="141"/>
      <c r="D769" s="62"/>
      <c r="E769" s="63"/>
      <c r="F769" s="102"/>
      <c r="G769" s="6"/>
      <c r="H769" s="7"/>
    </row>
    <row r="770" spans="2:10" hidden="1" outlineLevel="2" x14ac:dyDescent="0.25">
      <c r="B770" s="130"/>
      <c r="C770" s="141"/>
      <c r="D770" s="62"/>
      <c r="E770" s="63"/>
      <c r="G770" s="6"/>
      <c r="H770" s="7"/>
    </row>
    <row r="771" spans="2:10" hidden="1" outlineLevel="2" x14ac:dyDescent="0.25">
      <c r="B771" s="130"/>
      <c r="C771" s="141"/>
      <c r="D771" s="103"/>
      <c r="E771" s="104"/>
      <c r="F771" s="119"/>
      <c r="G771" s="120"/>
      <c r="H771" s="7"/>
    </row>
    <row r="772" spans="2:10" hidden="1" outlineLevel="2" x14ac:dyDescent="0.3">
      <c r="B772" s="130"/>
      <c r="C772" s="141"/>
      <c r="D772" s="121"/>
      <c r="E772" s="122"/>
      <c r="F772" s="119"/>
      <c r="G772" s="120"/>
      <c r="H772" s="7"/>
    </row>
    <row r="773" spans="2:10" hidden="1" outlineLevel="2" x14ac:dyDescent="0.25">
      <c r="B773" s="130"/>
      <c r="C773" s="141"/>
      <c r="D773" s="103"/>
      <c r="E773" s="104"/>
      <c r="F773" s="115"/>
      <c r="G773" s="116"/>
      <c r="H773" s="70"/>
    </row>
    <row r="774" spans="2:10" hidden="1" outlineLevel="2" x14ac:dyDescent="0.3">
      <c r="B774" s="130"/>
      <c r="C774" s="141"/>
      <c r="D774" s="109"/>
      <c r="E774" s="110"/>
      <c r="F774" s="101"/>
      <c r="G774" s="6"/>
      <c r="H774" s="7"/>
    </row>
    <row r="775" spans="2:10" ht="14.4" hidden="1" outlineLevel="1" thickBot="1" x14ac:dyDescent="0.35">
      <c r="B775" s="130"/>
      <c r="C775" s="142"/>
      <c r="D775" s="11"/>
      <c r="E775" s="17">
        <f>E768+E759</f>
        <v>0</v>
      </c>
      <c r="F775" s="80">
        <f>E775*100/$E$748*0.01</f>
        <v>0</v>
      </c>
      <c r="G775" s="12">
        <f>G759+G768</f>
        <v>0.08</v>
      </c>
      <c r="H775" s="71">
        <f>H768+H759</f>
        <v>1140</v>
      </c>
      <c r="I775" s="18"/>
    </row>
    <row r="776" spans="2:10" ht="14.4" hidden="1" outlineLevel="1" thickTop="1" x14ac:dyDescent="0.3">
      <c r="B776" s="130"/>
      <c r="C776" s="143" t="s">
        <v>61</v>
      </c>
      <c r="D776" s="13" t="s">
        <v>20</v>
      </c>
      <c r="E776" s="14"/>
      <c r="F776" s="74">
        <f>E776*100/$E$748*0.01</f>
        <v>0</v>
      </c>
      <c r="G776" s="15">
        <v>0.05</v>
      </c>
      <c r="H776" s="72">
        <v>1200</v>
      </c>
    </row>
    <row r="777" spans="2:10" hidden="1" outlineLevel="1" x14ac:dyDescent="0.3">
      <c r="B777" s="130"/>
      <c r="C777" s="144"/>
      <c r="D777" s="1" t="s">
        <v>21</v>
      </c>
      <c r="E777" s="5"/>
      <c r="F777" s="74">
        <f t="shared" ref="F777:F783" si="49">E777*100/$E$748*0.01</f>
        <v>0</v>
      </c>
      <c r="G777" s="3">
        <v>0.02</v>
      </c>
      <c r="H777" s="7">
        <v>500</v>
      </c>
    </row>
    <row r="778" spans="2:10" hidden="1" outlineLevel="1" x14ac:dyDescent="0.3">
      <c r="B778" s="130"/>
      <c r="C778" s="144"/>
      <c r="D778" s="1" t="s">
        <v>22</v>
      </c>
      <c r="E778" s="5"/>
      <c r="F778" s="74">
        <f t="shared" si="49"/>
        <v>0</v>
      </c>
      <c r="G778" s="3">
        <v>0.02</v>
      </c>
      <c r="H778" s="7">
        <v>350</v>
      </c>
    </row>
    <row r="779" spans="2:10" hidden="1" outlineLevel="1" x14ac:dyDescent="0.3">
      <c r="B779" s="130"/>
      <c r="C779" s="144"/>
      <c r="D779" s="1" t="s">
        <v>23</v>
      </c>
      <c r="E779" s="5"/>
      <c r="F779" s="74">
        <f t="shared" si="49"/>
        <v>0</v>
      </c>
      <c r="G779" s="3">
        <v>0.01</v>
      </c>
      <c r="H779" s="7">
        <v>300</v>
      </c>
    </row>
    <row r="780" spans="2:10" hidden="1" outlineLevel="1" x14ac:dyDescent="0.3">
      <c r="B780" s="130"/>
      <c r="C780" s="144"/>
      <c r="D780" s="1" t="s">
        <v>24</v>
      </c>
      <c r="E780" s="5"/>
      <c r="F780" s="74">
        <f t="shared" si="49"/>
        <v>0</v>
      </c>
      <c r="G780" s="3">
        <v>0.01</v>
      </c>
      <c r="H780" s="7">
        <v>150</v>
      </c>
    </row>
    <row r="781" spans="2:10" hidden="1" outlineLevel="1" x14ac:dyDescent="0.3">
      <c r="B781" s="130"/>
      <c r="C781" s="144"/>
      <c r="D781" s="1" t="s">
        <v>128</v>
      </c>
      <c r="E781" s="5"/>
      <c r="F781" s="74">
        <f t="shared" si="49"/>
        <v>0</v>
      </c>
      <c r="G781" s="3">
        <v>0.01</v>
      </c>
      <c r="H781" s="7">
        <v>150</v>
      </c>
    </row>
    <row r="782" spans="2:10" hidden="1" outlineLevel="1" x14ac:dyDescent="0.3">
      <c r="B782" s="130"/>
      <c r="C782" s="144"/>
      <c r="D782" s="1" t="s">
        <v>19</v>
      </c>
      <c r="E782" s="5"/>
      <c r="F782" s="74">
        <f t="shared" si="49"/>
        <v>0</v>
      </c>
      <c r="G782" s="3">
        <v>0.02</v>
      </c>
      <c r="H782" s="7">
        <v>500</v>
      </c>
    </row>
    <row r="783" spans="2:10" ht="14.4" hidden="1" outlineLevel="1" thickBot="1" x14ac:dyDescent="0.35">
      <c r="B783" s="130"/>
      <c r="C783" s="144"/>
      <c r="D783" s="11" t="s">
        <v>16</v>
      </c>
      <c r="E783" s="9">
        <f>SUM(E776:E782)</f>
        <v>0</v>
      </c>
      <c r="F783" s="82">
        <f t="shared" si="49"/>
        <v>0</v>
      </c>
      <c r="G783" s="10">
        <v>0.2</v>
      </c>
      <c r="H783" s="71">
        <f>SUM(H776:H782)</f>
        <v>3150</v>
      </c>
    </row>
    <row r="784" spans="2:10" ht="15" hidden="1" outlineLevel="1" thickTop="1" thickBot="1" x14ac:dyDescent="0.35">
      <c r="B784" s="131"/>
      <c r="C784" s="42"/>
      <c r="D784" s="42"/>
      <c r="E784" s="43" t="s">
        <v>78</v>
      </c>
      <c r="F784" s="83">
        <f>SUM(F783,F775,F758)</f>
        <v>0.71764329268292693</v>
      </c>
      <c r="G784" s="66"/>
      <c r="H784" s="73"/>
      <c r="J784" s="31" t="s">
        <v>72</v>
      </c>
    </row>
    <row r="785" spans="2:10" collapsed="1" x14ac:dyDescent="0.3">
      <c r="B785" s="84" t="s">
        <v>79</v>
      </c>
      <c r="C785" s="85"/>
      <c r="D785" s="85"/>
      <c r="E785" s="40"/>
      <c r="F785" s="77"/>
      <c r="G785" s="86"/>
      <c r="H785" s="44"/>
      <c r="J785" s="32">
        <f>E792-E802</f>
        <v>3704.5200000000004</v>
      </c>
    </row>
    <row r="786" spans="2:10" hidden="1" outlineLevel="1" x14ac:dyDescent="0.3">
      <c r="B786" s="130" t="s">
        <v>79</v>
      </c>
      <c r="C786" s="132" t="s">
        <v>6</v>
      </c>
      <c r="D786" s="1" t="s">
        <v>0</v>
      </c>
      <c r="E786" s="5">
        <v>7000</v>
      </c>
      <c r="F786" s="74">
        <f>E786*100/$E$792*0.01</f>
        <v>0.53353658536585369</v>
      </c>
      <c r="H786" s="7"/>
      <c r="J786" s="32"/>
    </row>
    <row r="787" spans="2:10" hidden="1" outlineLevel="1" x14ac:dyDescent="0.3">
      <c r="B787" s="130"/>
      <c r="C787" s="132"/>
      <c r="D787" s="1" t="s">
        <v>9</v>
      </c>
      <c r="E787" s="5">
        <v>120</v>
      </c>
      <c r="F787" s="74">
        <f t="shared" ref="F787:F791" si="50">E787*100/$E$792*0.01</f>
        <v>9.1463414634146353E-3</v>
      </c>
      <c r="H787" s="7"/>
      <c r="J787" s="33" t="s">
        <v>74</v>
      </c>
    </row>
    <row r="788" spans="2:10" hidden="1" outlineLevel="1" x14ac:dyDescent="0.3">
      <c r="B788" s="130"/>
      <c r="C788" s="132"/>
      <c r="D788" s="1" t="s">
        <v>10</v>
      </c>
      <c r="E788" s="5">
        <v>500</v>
      </c>
      <c r="F788" s="74">
        <f t="shared" si="50"/>
        <v>3.8109756097560975E-2</v>
      </c>
      <c r="H788" s="7"/>
      <c r="J788" s="32">
        <f>E792-(E802+H819)</f>
        <v>2564.5200000000004</v>
      </c>
    </row>
    <row r="789" spans="2:10" hidden="1" outlineLevel="1" x14ac:dyDescent="0.3">
      <c r="B789" s="130"/>
      <c r="C789" s="132"/>
      <c r="D789" s="1" t="s">
        <v>1</v>
      </c>
      <c r="E789" s="5">
        <v>5500</v>
      </c>
      <c r="F789" s="74">
        <f t="shared" si="50"/>
        <v>0.41920731707317077</v>
      </c>
      <c r="H789" s="7"/>
      <c r="J789" s="34"/>
    </row>
    <row r="790" spans="2:10" hidden="1" outlineLevel="1" x14ac:dyDescent="0.3">
      <c r="B790" s="130"/>
      <c r="C790" s="132"/>
      <c r="F790" s="74">
        <f t="shared" si="50"/>
        <v>0</v>
      </c>
      <c r="H790" s="7"/>
      <c r="J790" s="35" t="s">
        <v>75</v>
      </c>
    </row>
    <row r="791" spans="2:10" hidden="1" outlineLevel="1" x14ac:dyDescent="0.3">
      <c r="B791" s="130"/>
      <c r="C791" s="132"/>
      <c r="E791" s="5"/>
      <c r="F791" s="74">
        <f t="shared" si="50"/>
        <v>0</v>
      </c>
      <c r="H791" s="7"/>
      <c r="J791" s="32">
        <f>E792-E802-E819-E827</f>
        <v>3704.5200000000004</v>
      </c>
    </row>
    <row r="792" spans="2:10" ht="14.4" hidden="1" outlineLevel="1" thickBot="1" x14ac:dyDescent="0.35">
      <c r="B792" s="130"/>
      <c r="C792" s="133"/>
      <c r="D792" s="8"/>
      <c r="E792" s="9">
        <f>SUM(E786:E791)</f>
        <v>13120</v>
      </c>
      <c r="F792" s="78"/>
      <c r="G792" s="10"/>
      <c r="H792" s="68"/>
      <c r="J792" s="36"/>
    </row>
    <row r="793" spans="2:10" ht="15" hidden="1" outlineLevel="1" thickTop="1" thickBot="1" x14ac:dyDescent="0.35">
      <c r="B793" s="130"/>
      <c r="C793" s="52" t="s">
        <v>77</v>
      </c>
      <c r="D793" s="49" t="s">
        <v>66</v>
      </c>
      <c r="E793" s="50"/>
      <c r="F793" s="79">
        <f>E793*100/$E$792*0.01</f>
        <v>0</v>
      </c>
      <c r="G793" s="51"/>
      <c r="H793" s="69"/>
      <c r="J793" s="37" t="s">
        <v>76</v>
      </c>
    </row>
    <row r="794" spans="2:10" hidden="1" outlineLevel="1" x14ac:dyDescent="0.3">
      <c r="B794" s="130"/>
      <c r="C794" s="134" t="s">
        <v>7</v>
      </c>
      <c r="D794" s="1" t="s">
        <v>2</v>
      </c>
      <c r="E794" s="5">
        <v>4605.3500000000004</v>
      </c>
      <c r="F794" s="74">
        <f>E794*100/$E$792*0.01</f>
        <v>0.35101753048780493</v>
      </c>
      <c r="G794" s="136">
        <v>0.6</v>
      </c>
      <c r="H794" s="138">
        <f>E792*60%</f>
        <v>7872</v>
      </c>
      <c r="J794" s="38">
        <f>SUM(E802,E819,E827)</f>
        <v>9415.48</v>
      </c>
    </row>
    <row r="795" spans="2:10" hidden="1" outlineLevel="1" x14ac:dyDescent="0.3">
      <c r="B795" s="130"/>
      <c r="C795" s="134"/>
      <c r="D795" s="1" t="s">
        <v>3</v>
      </c>
      <c r="E795" s="5">
        <v>1450</v>
      </c>
      <c r="F795" s="74">
        <f t="shared" ref="F795:F801" si="51">E795*100/$E$792*0.01</f>
        <v>0.11051829268292684</v>
      </c>
      <c r="G795" s="136"/>
      <c r="H795" s="138"/>
    </row>
    <row r="796" spans="2:10" hidden="1" outlineLevel="1" x14ac:dyDescent="0.3">
      <c r="B796" s="130"/>
      <c r="C796" s="134"/>
      <c r="D796" s="1" t="s">
        <v>4</v>
      </c>
      <c r="E796" s="5">
        <v>1333.22</v>
      </c>
      <c r="F796" s="74">
        <f t="shared" si="51"/>
        <v>0.10161737804878049</v>
      </c>
      <c r="G796" s="136"/>
      <c r="H796" s="138"/>
    </row>
    <row r="797" spans="2:10" hidden="1" outlineLevel="1" x14ac:dyDescent="0.3">
      <c r="B797" s="130"/>
      <c r="C797" s="134"/>
      <c r="D797" s="1" t="s">
        <v>19</v>
      </c>
      <c r="E797" s="5">
        <v>1000</v>
      </c>
      <c r="F797" s="74">
        <f t="shared" si="51"/>
        <v>7.621951219512195E-2</v>
      </c>
      <c r="G797" s="136"/>
      <c r="H797" s="138"/>
    </row>
    <row r="798" spans="2:10" hidden="1" outlineLevel="1" x14ac:dyDescent="0.3">
      <c r="B798" s="130"/>
      <c r="C798" s="134"/>
      <c r="D798" s="1" t="s">
        <v>11</v>
      </c>
      <c r="E798" s="5">
        <v>110</v>
      </c>
      <c r="F798" s="74">
        <f t="shared" si="51"/>
        <v>8.3841463414634151E-3</v>
      </c>
      <c r="G798" s="136"/>
      <c r="H798" s="138"/>
    </row>
    <row r="799" spans="2:10" hidden="1" outlineLevel="1" x14ac:dyDescent="0.3">
      <c r="B799" s="130"/>
      <c r="C799" s="134"/>
      <c r="D799" s="1" t="s">
        <v>12</v>
      </c>
      <c r="E799" s="5">
        <v>400</v>
      </c>
      <c r="F799" s="74">
        <f t="shared" si="51"/>
        <v>3.0487804878048783E-2</v>
      </c>
      <c r="G799" s="136"/>
      <c r="H799" s="138"/>
    </row>
    <row r="800" spans="2:10" hidden="1" outlineLevel="1" x14ac:dyDescent="0.3">
      <c r="B800" s="130"/>
      <c r="C800" s="134"/>
      <c r="D800" s="1" t="s">
        <v>13</v>
      </c>
      <c r="E800" s="5">
        <v>316.91000000000003</v>
      </c>
      <c r="F800" s="74">
        <f t="shared" si="51"/>
        <v>2.4154725609756102E-2</v>
      </c>
      <c r="G800" s="136"/>
      <c r="H800" s="138"/>
      <c r="J800" s="18"/>
    </row>
    <row r="801" spans="2:8" hidden="1" outlineLevel="1" x14ac:dyDescent="0.3">
      <c r="B801" s="130"/>
      <c r="C801" s="134"/>
      <c r="D801" s="1" t="s">
        <v>5</v>
      </c>
      <c r="E801" s="5">
        <v>200</v>
      </c>
      <c r="F801" s="74">
        <f t="shared" si="51"/>
        <v>1.5243902439024392E-2</v>
      </c>
      <c r="G801" s="136"/>
      <c r="H801" s="138"/>
    </row>
    <row r="802" spans="2:8" ht="14.4" hidden="1" outlineLevel="1" thickBot="1" x14ac:dyDescent="0.35">
      <c r="B802" s="130"/>
      <c r="C802" s="135"/>
      <c r="D802" s="11"/>
      <c r="E802" s="9">
        <f>SUM(E794:E801)</f>
        <v>9415.48</v>
      </c>
      <c r="F802" s="80">
        <f>SUM(F794:F801)</f>
        <v>0.71764329268292693</v>
      </c>
      <c r="G802" s="137"/>
      <c r="H802" s="139"/>
    </row>
    <row r="803" spans="2:8" ht="14.4" hidden="1" outlineLevel="1" collapsed="1" thickTop="1" x14ac:dyDescent="0.3">
      <c r="B803" s="130"/>
      <c r="C803" s="140" t="s">
        <v>60</v>
      </c>
      <c r="D803" s="13" t="s">
        <v>14</v>
      </c>
      <c r="E803" s="14">
        <f>SUM(E804:E811)</f>
        <v>0</v>
      </c>
      <c r="F803" s="74">
        <f>E803*100/$E$792*0.01</f>
        <v>0</v>
      </c>
      <c r="G803" s="15">
        <v>0.04</v>
      </c>
      <c r="H803" s="72">
        <v>570</v>
      </c>
    </row>
    <row r="804" spans="2:8" hidden="1" outlineLevel="2" x14ac:dyDescent="0.3">
      <c r="B804" s="130"/>
      <c r="C804" s="141"/>
      <c r="D804" s="106"/>
      <c r="E804" s="107"/>
      <c r="F804" s="102"/>
      <c r="G804" s="114"/>
      <c r="H804" s="113"/>
    </row>
    <row r="805" spans="2:8" hidden="1" outlineLevel="2" x14ac:dyDescent="0.3">
      <c r="B805" s="130"/>
      <c r="C805" s="141"/>
      <c r="D805" s="106"/>
      <c r="E805" s="107"/>
      <c r="F805" s="102"/>
      <c r="G805" s="112"/>
      <c r="H805" s="118"/>
    </row>
    <row r="806" spans="2:8" hidden="1" outlineLevel="2" x14ac:dyDescent="0.3">
      <c r="B806" s="130"/>
      <c r="C806" s="141"/>
      <c r="H806" s="113"/>
    </row>
    <row r="807" spans="2:8" hidden="1" outlineLevel="2" x14ac:dyDescent="0.3">
      <c r="B807" s="130"/>
      <c r="C807" s="141"/>
      <c r="H807" s="113"/>
    </row>
    <row r="808" spans="2:8" hidden="1" outlineLevel="2" x14ac:dyDescent="0.3">
      <c r="B808" s="130"/>
      <c r="C808" s="141"/>
      <c r="H808" s="113"/>
    </row>
    <row r="809" spans="2:8" hidden="1" outlineLevel="2" x14ac:dyDescent="0.3">
      <c r="B809" s="130"/>
      <c r="C809" s="141"/>
      <c r="H809" s="7"/>
    </row>
    <row r="810" spans="2:8" hidden="1" outlineLevel="2" x14ac:dyDescent="0.3">
      <c r="B810" s="130"/>
      <c r="C810" s="141"/>
      <c r="H810" s="7"/>
    </row>
    <row r="811" spans="2:8" hidden="1" outlineLevel="2" x14ac:dyDescent="0.3">
      <c r="B811" s="130"/>
      <c r="C811" s="141"/>
      <c r="D811" s="109"/>
      <c r="E811" s="110"/>
      <c r="F811" s="111"/>
      <c r="H811" s="7"/>
    </row>
    <row r="812" spans="2:8" hidden="1" outlineLevel="1" collapsed="1" x14ac:dyDescent="0.3">
      <c r="B812" s="130"/>
      <c r="C812" s="141"/>
      <c r="D812" s="1" t="s">
        <v>15</v>
      </c>
      <c r="E812" s="16">
        <f>SUM(E813:E818)</f>
        <v>0</v>
      </c>
      <c r="F812" s="74">
        <f>E812*100/$E$792*0.01</f>
        <v>0</v>
      </c>
      <c r="G812" s="6">
        <v>0.04</v>
      </c>
      <c r="H812" s="7">
        <v>570</v>
      </c>
    </row>
    <row r="813" spans="2:8" hidden="1" outlineLevel="2" x14ac:dyDescent="0.25">
      <c r="B813" s="130"/>
      <c r="C813" s="141"/>
      <c r="D813" s="62"/>
      <c r="E813" s="63"/>
      <c r="F813" s="102"/>
      <c r="G813" s="6"/>
      <c r="H813" s="7"/>
    </row>
    <row r="814" spans="2:8" hidden="1" outlineLevel="2" x14ac:dyDescent="0.25">
      <c r="B814" s="130"/>
      <c r="C814" s="141"/>
      <c r="D814" s="62"/>
      <c r="E814" s="63"/>
      <c r="G814" s="6"/>
      <c r="H814" s="7"/>
    </row>
    <row r="815" spans="2:8" hidden="1" outlineLevel="2" x14ac:dyDescent="0.25">
      <c r="B815" s="130"/>
      <c r="C815" s="141"/>
      <c r="D815" s="103"/>
      <c r="E815" s="104"/>
      <c r="F815" s="119"/>
      <c r="G815" s="120"/>
      <c r="H815" s="7"/>
    </row>
    <row r="816" spans="2:8" hidden="1" outlineLevel="2" x14ac:dyDescent="0.3">
      <c r="B816" s="130"/>
      <c r="C816" s="141"/>
      <c r="D816" s="121"/>
      <c r="E816" s="122"/>
      <c r="F816" s="119"/>
      <c r="G816" s="120"/>
      <c r="H816" s="7"/>
    </row>
    <row r="817" spans="2:9" hidden="1" outlineLevel="2" x14ac:dyDescent="0.25">
      <c r="B817" s="130"/>
      <c r="C817" s="141"/>
      <c r="D817" s="103"/>
      <c r="E817" s="104"/>
      <c r="F817" s="115"/>
      <c r="G817" s="116"/>
      <c r="H817" s="70"/>
    </row>
    <row r="818" spans="2:9" hidden="1" outlineLevel="2" x14ac:dyDescent="0.3">
      <c r="B818" s="130"/>
      <c r="C818" s="141"/>
      <c r="D818" s="109"/>
      <c r="E818" s="110"/>
      <c r="F818" s="101"/>
      <c r="G818" s="6"/>
      <c r="H818" s="7"/>
    </row>
    <row r="819" spans="2:9" ht="14.4" hidden="1" outlineLevel="1" thickBot="1" x14ac:dyDescent="0.35">
      <c r="B819" s="130"/>
      <c r="C819" s="142"/>
      <c r="D819" s="11"/>
      <c r="E819" s="17">
        <f>E812+E803</f>
        <v>0</v>
      </c>
      <c r="F819" s="80">
        <f>E819*100/$E$792*0.01</f>
        <v>0</v>
      </c>
      <c r="G819" s="12">
        <f>G803+G812</f>
        <v>0.08</v>
      </c>
      <c r="H819" s="71">
        <f>H812+H803</f>
        <v>1140</v>
      </c>
      <c r="I819" s="18"/>
    </row>
    <row r="820" spans="2:9" ht="14.4" hidden="1" outlineLevel="1" thickTop="1" x14ac:dyDescent="0.3">
      <c r="B820" s="130"/>
      <c r="C820" s="143" t="s">
        <v>61</v>
      </c>
      <c r="D820" s="13" t="s">
        <v>20</v>
      </c>
      <c r="E820" s="14"/>
      <c r="F820" s="74">
        <f>E820*100/$E$792*0.01</f>
        <v>0</v>
      </c>
      <c r="G820" s="15">
        <v>0.05</v>
      </c>
      <c r="H820" s="72">
        <v>1200</v>
      </c>
    </row>
    <row r="821" spans="2:9" hidden="1" outlineLevel="1" x14ac:dyDescent="0.3">
      <c r="B821" s="130"/>
      <c r="C821" s="144"/>
      <c r="D821" s="1" t="s">
        <v>21</v>
      </c>
      <c r="E821" s="5"/>
      <c r="F821" s="74">
        <f t="shared" ref="F821:F827" si="52">E821*100/$E$792*0.01</f>
        <v>0</v>
      </c>
      <c r="G821" s="3">
        <v>0.02</v>
      </c>
      <c r="H821" s="7">
        <v>500</v>
      </c>
    </row>
    <row r="822" spans="2:9" hidden="1" outlineLevel="1" x14ac:dyDescent="0.3">
      <c r="B822" s="130"/>
      <c r="C822" s="144"/>
      <c r="D822" s="1" t="s">
        <v>22</v>
      </c>
      <c r="E822" s="5"/>
      <c r="F822" s="74">
        <f t="shared" si="52"/>
        <v>0</v>
      </c>
      <c r="G822" s="3">
        <v>0.02</v>
      </c>
      <c r="H822" s="7">
        <v>350</v>
      </c>
    </row>
    <row r="823" spans="2:9" hidden="1" outlineLevel="1" x14ac:dyDescent="0.3">
      <c r="B823" s="130"/>
      <c r="C823" s="144"/>
      <c r="D823" s="1" t="s">
        <v>23</v>
      </c>
      <c r="E823" s="5"/>
      <c r="F823" s="74">
        <f t="shared" si="52"/>
        <v>0</v>
      </c>
      <c r="G823" s="3">
        <v>0.01</v>
      </c>
      <c r="H823" s="7">
        <v>300</v>
      </c>
    </row>
    <row r="824" spans="2:9" hidden="1" outlineLevel="1" x14ac:dyDescent="0.3">
      <c r="B824" s="130"/>
      <c r="C824" s="144"/>
      <c r="D824" s="1" t="s">
        <v>24</v>
      </c>
      <c r="E824" s="5"/>
      <c r="F824" s="74">
        <f t="shared" si="52"/>
        <v>0</v>
      </c>
      <c r="G824" s="3">
        <v>0.01</v>
      </c>
      <c r="H824" s="7">
        <v>150</v>
      </c>
    </row>
    <row r="825" spans="2:9" hidden="1" outlineLevel="1" x14ac:dyDescent="0.3">
      <c r="B825" s="130"/>
      <c r="C825" s="144"/>
      <c r="D825" s="1" t="s">
        <v>128</v>
      </c>
      <c r="E825" s="5"/>
      <c r="F825" s="74">
        <f t="shared" si="52"/>
        <v>0</v>
      </c>
      <c r="G825" s="3">
        <v>0.01</v>
      </c>
      <c r="H825" s="7">
        <v>150</v>
      </c>
    </row>
    <row r="826" spans="2:9" hidden="1" outlineLevel="1" x14ac:dyDescent="0.3">
      <c r="B826" s="130"/>
      <c r="C826" s="144"/>
      <c r="D826" s="1" t="s">
        <v>19</v>
      </c>
      <c r="E826" s="5"/>
      <c r="F826" s="74">
        <f t="shared" si="52"/>
        <v>0</v>
      </c>
      <c r="G826" s="3">
        <v>0.02</v>
      </c>
      <c r="H826" s="7">
        <v>500</v>
      </c>
    </row>
    <row r="827" spans="2:9" ht="14.4" hidden="1" outlineLevel="1" thickBot="1" x14ac:dyDescent="0.35">
      <c r="B827" s="130"/>
      <c r="C827" s="144"/>
      <c r="D827" s="11" t="s">
        <v>16</v>
      </c>
      <c r="E827" s="9">
        <f>SUM(E820:E826)</f>
        <v>0</v>
      </c>
      <c r="F827" s="82">
        <f t="shared" si="52"/>
        <v>0</v>
      </c>
      <c r="G827" s="10">
        <v>0.2</v>
      </c>
      <c r="H827" s="71">
        <f>SUM(H820:H826)</f>
        <v>3150</v>
      </c>
    </row>
    <row r="828" spans="2:9" ht="15" hidden="1" outlineLevel="1" thickTop="1" thickBot="1" x14ac:dyDescent="0.35">
      <c r="B828" s="131"/>
      <c r="C828" s="42"/>
      <c r="D828" s="42"/>
      <c r="E828" s="43" t="s">
        <v>78</v>
      </c>
      <c r="F828" s="83">
        <f>SUM(F827,F819,F802)</f>
        <v>0.71764329268292693</v>
      </c>
      <c r="G828" s="66"/>
      <c r="H828" s="73"/>
    </row>
  </sheetData>
  <mergeCells count="101">
    <mergeCell ref="G109:G117"/>
    <mergeCell ref="H109:H117"/>
    <mergeCell ref="C118:C168"/>
    <mergeCell ref="C169:C176"/>
    <mergeCell ref="C91:C98"/>
    <mergeCell ref="B4:C4"/>
    <mergeCell ref="B5:C8"/>
    <mergeCell ref="B101:B177"/>
    <mergeCell ref="C101:C107"/>
    <mergeCell ref="C109:C117"/>
    <mergeCell ref="H24:H32"/>
    <mergeCell ref="B11:H11"/>
    <mergeCell ref="C14:C22"/>
    <mergeCell ref="C24:C32"/>
    <mergeCell ref="C33:C90"/>
    <mergeCell ref="G24:G32"/>
    <mergeCell ref="B14:B99"/>
    <mergeCell ref="B252:B318"/>
    <mergeCell ref="C252:C258"/>
    <mergeCell ref="C260:C268"/>
    <mergeCell ref="G260:G268"/>
    <mergeCell ref="H260:H268"/>
    <mergeCell ref="C269:C309"/>
    <mergeCell ref="C310:C317"/>
    <mergeCell ref="B179:B250"/>
    <mergeCell ref="C179:C185"/>
    <mergeCell ref="C187:C195"/>
    <mergeCell ref="G187:G195"/>
    <mergeCell ref="H187:H195"/>
    <mergeCell ref="C196:C241"/>
    <mergeCell ref="C242:C249"/>
    <mergeCell ref="B382:B442"/>
    <mergeCell ref="C382:C388"/>
    <mergeCell ref="C390:C398"/>
    <mergeCell ref="G390:G398"/>
    <mergeCell ref="H390:H398"/>
    <mergeCell ref="C399:C433"/>
    <mergeCell ref="C434:C441"/>
    <mergeCell ref="B320:B380"/>
    <mergeCell ref="C320:C326"/>
    <mergeCell ref="C328:C336"/>
    <mergeCell ref="G328:G336"/>
    <mergeCell ref="H328:H336"/>
    <mergeCell ref="C337:C371"/>
    <mergeCell ref="C372:C379"/>
    <mergeCell ref="B501:B553"/>
    <mergeCell ref="C501:C507"/>
    <mergeCell ref="C509:C517"/>
    <mergeCell ref="G509:G517"/>
    <mergeCell ref="H509:H517"/>
    <mergeCell ref="C518:C544"/>
    <mergeCell ref="C545:C552"/>
    <mergeCell ref="B444:B499"/>
    <mergeCell ref="C444:C450"/>
    <mergeCell ref="C452:C460"/>
    <mergeCell ref="G452:G460"/>
    <mergeCell ref="H452:H460"/>
    <mergeCell ref="C461:C490"/>
    <mergeCell ref="C491:C498"/>
    <mergeCell ref="B608:B652"/>
    <mergeCell ref="C608:C614"/>
    <mergeCell ref="C616:C624"/>
    <mergeCell ref="G616:G624"/>
    <mergeCell ref="H616:H624"/>
    <mergeCell ref="C625:C643"/>
    <mergeCell ref="C644:C651"/>
    <mergeCell ref="B555:B606"/>
    <mergeCell ref="C555:C561"/>
    <mergeCell ref="C563:C571"/>
    <mergeCell ref="G563:G571"/>
    <mergeCell ref="H563:H571"/>
    <mergeCell ref="C572:C597"/>
    <mergeCell ref="C598:C605"/>
    <mergeCell ref="B698:B740"/>
    <mergeCell ref="C698:C704"/>
    <mergeCell ref="C706:C714"/>
    <mergeCell ref="G706:G714"/>
    <mergeCell ref="H706:H714"/>
    <mergeCell ref="C715:C731"/>
    <mergeCell ref="C732:C739"/>
    <mergeCell ref="B654:B696"/>
    <mergeCell ref="C654:C660"/>
    <mergeCell ref="C662:C670"/>
    <mergeCell ref="G662:G670"/>
    <mergeCell ref="H662:H670"/>
    <mergeCell ref="C671:C687"/>
    <mergeCell ref="C688:C695"/>
    <mergeCell ref="B786:B828"/>
    <mergeCell ref="C786:C792"/>
    <mergeCell ref="C794:C802"/>
    <mergeCell ref="G794:G802"/>
    <mergeCell ref="H794:H802"/>
    <mergeCell ref="C803:C819"/>
    <mergeCell ref="C820:C827"/>
    <mergeCell ref="B742:B784"/>
    <mergeCell ref="C742:C748"/>
    <mergeCell ref="C750:C758"/>
    <mergeCell ref="G750:G758"/>
    <mergeCell ref="H750:H758"/>
    <mergeCell ref="C759:C775"/>
    <mergeCell ref="C776:C783"/>
  </mergeCells>
  <conditionalFormatting sqref="E5:E8">
    <cfRule type="cellIs" dxfId="57" priority="54" operator="lessThan">
      <formula>0</formula>
    </cfRule>
    <cfRule type="cellIs" dxfId="56" priority="55" operator="greaterThan">
      <formula>0</formula>
    </cfRule>
  </conditionalFormatting>
  <conditionalFormatting sqref="F99">
    <cfRule type="cellIs" dxfId="55" priority="58" operator="lessThan">
      <formula>1</formula>
    </cfRule>
    <cfRule type="cellIs" dxfId="54" priority="59" operator="greaterThan">
      <formula>1</formula>
    </cfRule>
  </conditionalFormatting>
  <conditionalFormatting sqref="F177">
    <cfRule type="cellIs" dxfId="53" priority="52" operator="lessThan">
      <formula>1</formula>
    </cfRule>
    <cfRule type="cellIs" dxfId="52" priority="53" operator="greaterThan">
      <formula>1</formula>
    </cfRule>
  </conditionalFormatting>
  <conditionalFormatting sqref="F250">
    <cfRule type="cellIs" dxfId="51" priority="47" operator="lessThan">
      <formula>1</formula>
    </cfRule>
    <cfRule type="cellIs" dxfId="50" priority="48" operator="greaterThan">
      <formula>1</formula>
    </cfRule>
  </conditionalFormatting>
  <conditionalFormatting sqref="F318">
    <cfRule type="cellIs" dxfId="49" priority="43" operator="lessThan">
      <formula>1</formula>
    </cfRule>
    <cfRule type="cellIs" dxfId="48" priority="44" operator="greaterThan">
      <formula>1</formula>
    </cfRule>
  </conditionalFormatting>
  <conditionalFormatting sqref="F380">
    <cfRule type="cellIs" dxfId="47" priority="39" operator="lessThan">
      <formula>1</formula>
    </cfRule>
    <cfRule type="cellIs" dxfId="46" priority="40" operator="greaterThan">
      <formula>1</formula>
    </cfRule>
  </conditionalFormatting>
  <conditionalFormatting sqref="F442">
    <cfRule type="cellIs" dxfId="45" priority="35" operator="lessThan">
      <formula>1</formula>
    </cfRule>
    <cfRule type="cellIs" dxfId="44" priority="36" operator="greaterThan">
      <formula>1</formula>
    </cfRule>
  </conditionalFormatting>
  <conditionalFormatting sqref="F499">
    <cfRule type="cellIs" dxfId="43" priority="31" operator="lessThan">
      <formula>1</formula>
    </cfRule>
    <cfRule type="cellIs" dxfId="42" priority="32" operator="greaterThan">
      <formula>1</formula>
    </cfRule>
  </conditionalFormatting>
  <conditionalFormatting sqref="F553">
    <cfRule type="cellIs" dxfId="41" priority="27" operator="lessThan">
      <formula>1</formula>
    </cfRule>
    <cfRule type="cellIs" dxfId="40" priority="28" operator="greaterThan">
      <formula>1</formula>
    </cfRule>
  </conditionalFormatting>
  <conditionalFormatting sqref="F606">
    <cfRule type="cellIs" dxfId="39" priority="23" operator="lessThan">
      <formula>1</formula>
    </cfRule>
    <cfRule type="cellIs" dxfId="38" priority="24" operator="greaterThan">
      <formula>1</formula>
    </cfRule>
  </conditionalFormatting>
  <conditionalFormatting sqref="F652">
    <cfRule type="cellIs" dxfId="37" priority="19" operator="lessThan">
      <formula>1</formula>
    </cfRule>
    <cfRule type="cellIs" dxfId="36" priority="20" operator="greaterThan">
      <formula>1</formula>
    </cfRule>
  </conditionalFormatting>
  <conditionalFormatting sqref="F696">
    <cfRule type="cellIs" dxfId="35" priority="15" operator="lessThan">
      <formula>1</formula>
    </cfRule>
    <cfRule type="cellIs" dxfId="34" priority="16" operator="greaterThan">
      <formula>1</formula>
    </cfRule>
  </conditionalFormatting>
  <conditionalFormatting sqref="F740">
    <cfRule type="cellIs" dxfId="33" priority="11" operator="lessThan">
      <formula>1</formula>
    </cfRule>
    <cfRule type="cellIs" dxfId="32" priority="12" operator="greaterThan">
      <formula>1</formula>
    </cfRule>
  </conditionalFormatting>
  <conditionalFormatting sqref="F784">
    <cfRule type="cellIs" dxfId="31" priority="7" operator="lessThan">
      <formula>1</formula>
    </cfRule>
    <cfRule type="cellIs" dxfId="30" priority="8" operator="greaterThan">
      <formula>1</formula>
    </cfRule>
  </conditionalFormatting>
  <conditionalFormatting sqref="F828">
    <cfRule type="cellIs" dxfId="29" priority="3" operator="lessThan">
      <formula>1</formula>
    </cfRule>
    <cfRule type="cellIs" dxfId="28" priority="4" operator="greaterThan">
      <formula>1</formula>
    </cfRule>
  </conditionalFormatting>
  <conditionalFormatting sqref="J21">
    <cfRule type="cellIs" dxfId="27" priority="56" operator="lessThan">
      <formula>0</formula>
    </cfRule>
    <cfRule type="cellIs" dxfId="26" priority="57" operator="greaterThan">
      <formula>0</formula>
    </cfRule>
  </conditionalFormatting>
  <conditionalFormatting sqref="J106">
    <cfRule type="cellIs" dxfId="25" priority="50" operator="lessThan">
      <formula>0</formula>
    </cfRule>
    <cfRule type="cellIs" dxfId="24" priority="51" operator="greaterThan">
      <formula>0</formula>
    </cfRule>
  </conditionalFormatting>
  <conditionalFormatting sqref="J184">
    <cfRule type="cellIs" dxfId="23" priority="45" operator="lessThan">
      <formula>0</formula>
    </cfRule>
    <cfRule type="cellIs" dxfId="22" priority="46" operator="greaterThan">
      <formula>0</formula>
    </cfRule>
  </conditionalFormatting>
  <conditionalFormatting sqref="J257">
    <cfRule type="cellIs" dxfId="21" priority="41" operator="lessThan">
      <formula>0</formula>
    </cfRule>
    <cfRule type="cellIs" dxfId="20" priority="42" operator="greaterThan">
      <formula>0</formula>
    </cfRule>
  </conditionalFormatting>
  <conditionalFormatting sqref="J325">
    <cfRule type="cellIs" dxfId="19" priority="37" operator="lessThan">
      <formula>0</formula>
    </cfRule>
    <cfRule type="cellIs" dxfId="18" priority="38" operator="greaterThan">
      <formula>0</formula>
    </cfRule>
  </conditionalFormatting>
  <conditionalFormatting sqref="J387">
    <cfRule type="cellIs" dxfId="17" priority="33" operator="lessThan">
      <formula>0</formula>
    </cfRule>
    <cfRule type="cellIs" dxfId="16" priority="34" operator="greaterThan">
      <formula>0</formula>
    </cfRule>
  </conditionalFormatting>
  <conditionalFormatting sqref="J449">
    <cfRule type="cellIs" dxfId="15" priority="29" operator="lessThan">
      <formula>0</formula>
    </cfRule>
    <cfRule type="cellIs" dxfId="14" priority="30" operator="greaterThan">
      <formula>0</formula>
    </cfRule>
  </conditionalFormatting>
  <conditionalFormatting sqref="J506">
    <cfRule type="cellIs" dxfId="13" priority="25" operator="lessThan">
      <formula>0</formula>
    </cfRule>
    <cfRule type="cellIs" dxfId="12" priority="26" operator="greaterThan">
      <formula>0</formula>
    </cfRule>
  </conditionalFormatting>
  <conditionalFormatting sqref="J560">
    <cfRule type="cellIs" dxfId="11" priority="21" operator="lessThan">
      <formula>0</formula>
    </cfRule>
    <cfRule type="cellIs" dxfId="10" priority="22" operator="greaterThan">
      <formula>0</formula>
    </cfRule>
  </conditionalFormatting>
  <conditionalFormatting sqref="J613">
    <cfRule type="cellIs" dxfId="9" priority="17" operator="lessThan">
      <formula>0</formula>
    </cfRule>
    <cfRule type="cellIs" dxfId="8" priority="18" operator="greaterThan">
      <formula>0</formula>
    </cfRule>
  </conditionalFormatting>
  <conditionalFormatting sqref="J659">
    <cfRule type="cellIs" dxfId="7" priority="13" operator="lessThan">
      <formula>0</formula>
    </cfRule>
    <cfRule type="cellIs" dxfId="6" priority="14" operator="greaterThan">
      <formula>0</formula>
    </cfRule>
  </conditionalFormatting>
  <conditionalFormatting sqref="J703">
    <cfRule type="cellIs" dxfId="5" priority="9" operator="lessThan">
      <formula>0</formula>
    </cfRule>
    <cfRule type="cellIs" dxfId="4" priority="10" operator="greaterThan">
      <formula>0</formula>
    </cfRule>
  </conditionalFormatting>
  <conditionalFormatting sqref="J747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J791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E32" formulaRange="1"/>
    <ignoredError sqref="F117 F195 F268 F336 F398 F460 F517 F571 F624 F670 F714 F758 F802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DRE. Vitiloma.2025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Barbieri | Polycarpo</dc:creator>
  <cp:lastModifiedBy>Victor Tavolaro Barbieri</cp:lastModifiedBy>
  <cp:lastPrinted>2025-01-05T21:45:20Z</cp:lastPrinted>
  <dcterms:created xsi:type="dcterms:W3CDTF">2024-09-05T15:57:20Z</dcterms:created>
  <dcterms:modified xsi:type="dcterms:W3CDTF">2025-01-11T18:58:18Z</dcterms:modified>
</cp:coreProperties>
</file>